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817c7c11924426" /></Relationships>
</file>

<file path=xl/workbook.xml><?xml version="1.0" encoding="utf-8"?>
<x:workbook xmlns:x="http://schemas.openxmlformats.org/spreadsheetml/2006/main">
  <x:sheets>
    <x:sheet xmlns:r="http://schemas.openxmlformats.org/officeDocument/2006/relationships" name="Deal screen" sheetId="1" r:id="R96574b8bf66f48e1"/>
    <x:sheet xmlns:r="http://schemas.openxmlformats.org/officeDocument/2006/relationships" name="Investor contacts" sheetId="2" r:id="R8bcf9ecf0a2e40f9"/>
    <x:sheet xmlns:r="http://schemas.openxmlformats.org/officeDocument/2006/relationships" name="Investment evidence" sheetId="3" r:id="Rf79ecd08059d403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quot;$&quot;#,##0"/>
    <x:numFmt numFmtId="201" formatCode="@"/>
    <x:numFmt numFmtId="202" formatCode="#,##0"/>
    <x:numFmt numFmtId="203" formatCode="0.0%"/>
  </x:numFmts>
  <x:fonts count="5">
    <x:font>
      <x:sz val="11"/>
      <x:name val="Carlito"/>
    </x:font>
    <x:font>
      <x:sz val="10"/>
      <x:color rgb="FF1D2D3E"/>
      <x:name val="Arial"/>
    </x:font>
    <x:font>
      <x:b/>
      <x:sz val="14"/>
      <x:color rgb="FF1D2D3E"/>
      <x:name val="Arial"/>
    </x:font>
    <x:font>
      <x:i/>
      <x:sz val="10"/>
      <x:color rgb="FF596B7E"/>
      <x:name val="Arial"/>
    </x:font>
    <x:font>
      <x:b/>
      <x:sz val="10"/>
      <x:color rgb="FFFFFFFF"/>
      <x:name val="Arial"/>
    </x:font>
  </x:fonts>
  <x:fills count="4">
    <x:fill>
      <x:patternFill patternType="none"/>
    </x:fill>
    <x:fill>
      <x:patternFill patternType="gray125"/>
    </x:fill>
    <x:fill>
      <x:patternFill patternType="solid">
        <x:fgColor rgb="FF213A56"/>
      </x:patternFill>
    </x:fill>
    <x:fill>
      <x:patternFill patternType="solid">
        <x:fgColor rgb="FFFFF4D7"/>
      </x:patternFill>
    </x:fill>
  </x:fills>
  <x:borders count="1">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2"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2"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0"/>
    </x:xf>
  </x:cellXfs>
  <x:cellStyles count="1">
    <x:cellStyle name="Normal" xfId="0"/>
  </x:cellStyles>
  <x:dxfs count="2">
    <x:dxf>
      <x:fill>
        <x:patternFill patternType="solid">
          <x:bgColor rgb="FFFFF4D7"/>
        </x:patternFill>
      </x:fill>
    </x:dxf>
    <x:dxf>
      <x:fill>
        <x:patternFill patternType="solid">
          <x:bgColor rgb="FFFFF4D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83cd43656d4c85" /><Relationship Type="http://schemas.openxmlformats.org/officeDocument/2006/relationships/theme" Target="/xl/theme/theme1.xml" Id="Rb627914914644df0" /><Relationship Type="http://schemas.openxmlformats.org/officeDocument/2006/relationships/sharedStrings" Target="/xl/sharedStrings.xml" Id="Rbeafe07bef2f4c06" /><Relationship Type="http://schemas.openxmlformats.org/officeDocument/2006/relationships/worksheet" Target="/xl/worksheets/sheet1.xml" Id="R96574b8bf66f48e1" /><Relationship Type="http://schemas.openxmlformats.org/officeDocument/2006/relationships/worksheet" Target="/xl/worksheets/sheet2.xml" Id="R8bcf9ecf0a2e40f9" /><Relationship Type="http://schemas.openxmlformats.org/officeDocument/2006/relationships/worksheet" Target="/xl/worksheets/sheet3.xml" Id="Rf79ecd08059d403e" /></Relationships>
</file>

<file path=xl/tables/table1.xml><?xml version="1.0" encoding="utf-8"?>
<x:table xmlns:x="http://schemas.openxmlformats.org/spreadsheetml/2006/main" id="1" name="InvestorContacts" displayName="InvestorContacts" ref="A4:U239" headerRowCount="1" totalsRowCount="0" totalsRowShown="0">
  <x:autoFilter ref="A4:U239"/>
  <x:tableColumns count="21">
    <x:tableColumn id="1" name="Contact ID"/>
    <x:tableColumn id="2" name="Company / vehicle"/>
    <x:tableColumn id="3" name="Named contact"/>
    <x:tableColumn id="4" name="Category"/>
    <x:tableColumn id="5" name="Public phone"/>
    <x:tableColumn id="6" name="Public email"/>
    <x:tableColumn id="7" name="Phone route"/>
    <x:tableColumn id="8" name="Email route"/>
    <x:tableColumn id="9" name="Published $500K check"/>
    <x:tableColumn id="10" name="Minimum check (USD)"/>
    <x:tableColumn id="11" name="Maximum check (USD)"/>
    <x:tableColumn id="12" name="Location / focus"/>
    <x:tableColumn id="13" name="Title"/>
    <x:tableColumn id="14" name="Screen"/>
    <x:tableColumn id="15" name="Outreach stage"/>
    <x:tableColumn id="16" name="Owner"/>
    <x:tableColumn id="17" name="Acceptance"/>
    <x:tableColumn id="18" name="Available cash"/>
    <x:tableColumn id="19" name="Observed date"/>
    <x:tableColumn id="20" name="Website"/>
    <x:tableColumn id="21" name="Vehicle ID"/>
  </x:tableColumns>
  <x:tableStyleInfo name="TableStyleMedium2" showFirstColumn="0" showLastColumn="0" showRowStripes="1" showColumnStripes="0"/>
</x:table>
</file>

<file path=xl/tables/table2.xml><?xml version="1.0" encoding="utf-8"?>
<x:table xmlns:x="http://schemas.openxmlformats.org/spreadsheetml/2006/main" id="2" name="InvestorEvidence" displayName="InvestorEvidence" ref="A4:M239" headerRowCount="1" totalsRowCount="0" totalsRowShown="0">
  <x:autoFilter ref="A4:M239"/>
  <x:tableColumns count="13">
    <x:tableColumn id="1" name="Contact ID"/>
    <x:tableColumn id="2" name="Company / vehicle"/>
    <x:tableColumn id="3" name="Named contact"/>
    <x:tableColumn id="4" name="Range scope"/>
    <x:tableColumn id="5" name="Minority equity evidence"/>
    <x:tableColumn id="6" name="Mandate"/>
    <x:tableColumn id="7" name="Why consider"/>
    <x:tableColumn id="8" name="Requirements to confirm"/>
    <x:tableColumn id="9" name="Email source"/>
    <x:tableColumn id="10" name="Phone source"/>
    <x:tableColumn id="11" name="Mandate source"/>
    <x:tableColumn id="12" name="Profile source"/>
    <x:tableColumn id="13" name="Observed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36e61f7c9fb4ec8" /></Relationships>
</file>

<file path=xl/worksheets/_rels/sheet3.xml.rels>&#65279;<?xml version="1.0" encoding="utf-8"?><Relationships xmlns="http://schemas.openxmlformats.org/package/2006/relationships"><Relationship Type="http://schemas.openxmlformats.org/officeDocument/2006/relationships/table" Target="/xl/tables/table2.xml" Id="Rad6c168024bf4334" /></Relationships>
</file>

<file path=xl/worksheets/sheet1.xml><?xml version="1.0" encoding="utf-8"?>
<x:worksheet xmlns:x="http://schemas.openxmlformats.org/spreadsheetml/2006/main">
  <x:sheetPr>
    <x:tabColor rgb="FF213A56"/>
  </x:sheetPr>
  <x:sheetViews>
    <x:sheetView showGridLines="0" workbookViewId="0"/>
  </x:sheetViews>
  <x:sheetFormatPr defaultRowHeight="15"/>
  <x:cols>
    <x:col min="1" max="1" width="36" hidden="0" customWidth="1"/>
    <x:col min="2" max="2" width="48" hidden="0" customWidth="1"/>
    <x:col min="3" max="3" width="3" hidden="0" customWidth="1"/>
    <x:col min="4" max="4" width="75" hidden="0" customWidth="1"/>
  </x:cols>
  <x:sheetData>
    <x:row r="1">
      <x:c r="A1" s="2"/>
      <x:c r="B1" s="2"/>
      <x:c r="C1" s="2"/>
      <x:c r="D1" s="2"/>
      <x:c r="E1" s="2"/>
      <x:c r="F1" s="2"/>
      <x:c r="G1" s="2"/>
      <x:c r="H1" s="2"/>
    </x:row>
    <x:row r="2">
      <x:c r="A2" s="3" t="str">
        <x:v>CapitalForge equity deal screen</x:v>
      </x:c>
      <x:c r="B2" s="2"/>
      <x:c r="C2" s="2"/>
      <x:c r="D2" s="2"/>
      <x:c r="E2" s="2"/>
      <x:c r="F2" s="2"/>
      <x:c r="G2" s="2"/>
      <x:c r="H2" s="2"/>
    </x:row>
    <x:row r="3">
      <x:c r="A3" s="2"/>
      <x:c r="B3" s="2"/>
      <x:c r="C3" s="2"/>
      <x:c r="D3" s="2"/>
      <x:c r="E3" s="2"/>
      <x:c r="F3" s="2"/>
      <x:c r="G3" s="2"/>
      <x:c r="H3" s="2"/>
    </x:row>
    <x:row r="4" ht="28" customHeight="1">
      <x:c r="A4" s="8" t="str">
        <x:v>Directory coverage</x:v>
      </x:c>
      <x:c r="B4" s="8" t="str">
        <x:v>Contacts / vehicles</x:v>
      </x:c>
      <x:c r="C4" s="2"/>
      <x:c r="D4" s="2"/>
      <x:c r="E4" s="2"/>
      <x:c r="F4" s="2"/>
      <x:c r="G4" s="2"/>
      <x:c r="H4" s="2"/>
    </x:row>
    <x:row r="5">
      <x:c r="A5" s="9" t="str">
        <x:v>Contact routes</x:v>
      </x:c>
      <x:c r="B5" s="17" t="n">
        <x:f>COUNTA('Investor contacts'!$A$5:$A$239)</x:f>
        <x:v>235</x:v>
      </x:c>
      <x:c r="C5" s="9"/>
      <x:c r="D5" s="9"/>
      <x:c r="E5" s="2"/>
      <x:c r="F5" s="2"/>
      <x:c r="G5" s="2"/>
      <x:c r="H5" s="2"/>
    </x:row>
    <x:row r="6">
      <x:c r="A6" s="9" t="str">
        <x:v>Unique funding vehicles</x:v>
      </x:c>
      <x:c r="B6" s="17" t="n">
        <x:v>180</x:v>
      </x:c>
      <x:c r="C6" s="9"/>
      <x:c r="D6" s="9"/>
      <x:c r="E6" s="2"/>
      <x:c r="F6" s="2"/>
      <x:c r="G6" s="2"/>
      <x:c r="H6" s="2"/>
    </x:row>
    <x:row r="7">
      <x:c r="A7" s="9" t="str">
        <x:v>Public phone and email pairs</x:v>
      </x:c>
      <x:c r="B7" s="17" t="n">
        <x:f>SUMPRODUCT(('Investor contacts'!$E$5:$E$239&lt;&gt;"")*('Investor contacts'!$F$5:$F$239&lt;&gt;""))</x:f>
        <x:v>119</x:v>
      </x:c>
      <x:c r="C7" s="9"/>
      <x:c r="D7" s="9"/>
      <x:c r="E7" s="2"/>
      <x:c r="F7" s="2"/>
      <x:c r="G7" s="2"/>
      <x:c r="H7" s="2"/>
    </x:row>
    <x:row r="8">
      <x:c r="A8" s="9" t="str">
        <x:v>Named contacts</x:v>
      </x:c>
      <x:c r="B8" s="17" t="n">
        <x:f>SUMPRODUCT(('Investor contacts'!$C$5:$C$239&lt;&gt;"")*1)</x:f>
        <x:v>86</x:v>
      </x:c>
      <x:c r="C8" s="9"/>
      <x:c r="D8" s="9"/>
      <x:c r="E8" s="2"/>
      <x:c r="F8" s="2"/>
      <x:c r="G8" s="2"/>
      <x:c r="H8" s="2"/>
    </x:row>
    <x:row r="9">
      <x:c r="A9" s="9" t="str">
        <x:v>Published ranges overlapping $500K</x:v>
      </x:c>
      <x:c r="B9" s="17" t="n">
        <x:f>COUNTIF('Investor contacts'!$I$5:$I$239,"Published range overlaps $500K")</x:f>
        <x:v>82</x:v>
      </x:c>
      <x:c r="C9" s="9"/>
      <x:c r="D9" s="9"/>
      <x:c r="E9" s="2"/>
      <x:c r="F9" s="2"/>
      <x:c r="G9" s="2"/>
      <x:c r="H9" s="2"/>
    </x:row>
    <x:row r="10">
      <x:c r="A10" s="9" t="str">
        <x:v>Available $500K cash verified</x:v>
      </x:c>
      <x:c r="B10" s="17" t="n">
        <x:v>0</x:v>
      </x:c>
      <x:c r="C10" s="9"/>
      <x:c r="D10" s="9"/>
      <x:c r="E10" s="2"/>
      <x:c r="F10" s="2"/>
      <x:c r="G10" s="2"/>
      <x:c r="H10" s="2"/>
    </x:row>
    <x:row r="11">
      <x:c r="A11" s="9" t="str">
        <x:v>Accepted $500K for 9.3%</x:v>
      </x:c>
      <x:c r="B11" s="17" t="n">
        <x:v>0</x:v>
      </x:c>
      <x:c r="C11" s="9"/>
      <x:c r="D11" s="9"/>
      <x:c r="E11" s="2"/>
      <x:c r="F11" s="2"/>
      <x:c r="G11" s="2"/>
      <x:c r="H11" s="2"/>
    </x:row>
    <x:row r="12">
      <x:c r="A12" s="9"/>
      <x:c r="B12" s="9"/>
      <x:c r="C12" s="9"/>
      <x:c r="D12" s="9"/>
      <x:c r="E12" s="2"/>
      <x:c r="F12" s="2"/>
      <x:c r="G12" s="2"/>
      <x:c r="H12" s="2"/>
    </x:row>
    <x:row r="13">
      <x:c r="A13" s="9"/>
      <x:c r="B13" s="9"/>
      <x:c r="C13" s="9"/>
      <x:c r="D13" s="9"/>
      <x:c r="E13" s="2"/>
      <x:c r="F13" s="2"/>
      <x:c r="G13" s="2"/>
      <x:c r="H13" s="2"/>
    </x:row>
    <x:row r="14" ht="28" customHeight="1">
      <x:c r="A14" s="8" t="str">
        <x:v>Proposal</x:v>
      </x:c>
      <x:c r="B14" s="8" t="str">
        <x:v>Value</x:v>
      </x:c>
      <x:c r="C14" s="9"/>
      <x:c r="D14" s="8" t="str">
        <x:v>Basis / implication</x:v>
      </x:c>
      <x:c r="E14" s="2"/>
      <x:c r="F14" s="2"/>
      <x:c r="G14" s="2"/>
      <x:c r="H14" s="2"/>
    </x:row>
    <x:row r="15" ht="46" customHeight="1">
      <x:c r="A15" s="9" t="str">
        <x:v>Initial equity (USD)</x:v>
      </x:c>
      <x:c r="B15" s="18" t="n">
        <x:v>500000</x:v>
      </x:c>
      <x:c r="C15" s="9"/>
      <x:c r="D15" s="9" t="str">
        <x:v>User proposal: company equity for operating execution.</x:v>
      </x:c>
      <x:c r="E15" s="2"/>
      <x:c r="F15" s="2"/>
      <x:c r="G15" s="2"/>
      <x:c r="H15" s="2"/>
    </x:row>
    <x:row r="16" ht="46" customHeight="1">
      <x:c r="A16" s="9" t="str">
        <x:v>Ownership</x:v>
      </x:c>
      <x:c r="B16" s="19" t="n">
        <x:v>0.093</x:v>
      </x:c>
      <x:c r="C16" s="9"/>
      <x:c r="D16" s="9" t="str">
        <x:v>930,000 modeled shares out of a fixed 10,000,000 fully diluted base.</x:v>
      </x:c>
      <x:c r="E16" s="2"/>
      <x:c r="F16" s="2"/>
      <x:c r="G16" s="2"/>
      <x:c r="H16" s="2"/>
    </x:row>
    <x:row r="17" ht="46" customHeight="1">
      <x:c r="A17" s="9" t="str">
        <x:v>Implied post-money equity (USD)</x:v>
      </x:c>
      <x:c r="B17" s="18" t="n">
        <x:f>B15/B16</x:f>
        <x:v>5376344.086021505</x:v>
      </x:c>
      <x:c r="C17" s="9"/>
      <x:c r="D17" s="9" t="str">
        <x:v>Arithmetic assumes the stated percentage after the contribution.</x:v>
      </x:c>
      <x:c r="E17" s="2"/>
      <x:c r="F17" s="2"/>
      <x:c r="G17" s="2"/>
      <x:c r="H17" s="2"/>
    </x:row>
    <x:row r="18" ht="46" customHeight="1">
      <x:c r="A18" s="9" t="str">
        <x:v>Optional second equity (USD)</x:v>
      </x:c>
      <x:c r="B18" s="18" t="n">
        <x:v>500000</x:v>
      </x:c>
      <x:c r="C18" s="9"/>
      <x:c r="D18" s="9" t="str">
        <x:v>Another 800,000 reserve shares; terms remain subject to agreement.</x:v>
      </x:c>
      <x:c r="E18" s="2"/>
      <x:c r="F18" s="2"/>
      <x:c r="G18" s="2"/>
      <x:c r="H18" s="2"/>
    </x:row>
    <x:row r="19" ht="46" customHeight="1">
      <x:c r="A19" s="9" t="str">
        <x:v>Combined ownership</x:v>
      </x:c>
      <x:c r="B19" s="19" t="n">
        <x:v>0.173</x:v>
      </x:c>
      <x:c r="C19" s="9"/>
      <x:c r="D19" s="9" t="str">
        <x:v>17.3% on the unchanged share base; assumes both contributions.</x:v>
      </x:c>
      <x:c r="E19" s="2"/>
      <x:c r="F19" s="2"/>
      <x:c r="G19" s="2"/>
      <x:c r="H19" s="2"/>
    </x:row>
    <x:row r="20">
      <x:c r="A20" s="9"/>
      <x:c r="B20" s="9"/>
      <x:c r="C20" s="9"/>
      <x:c r="D20" s="9"/>
      <x:c r="E20" s="2"/>
      <x:c r="F20" s="2"/>
      <x:c r="G20" s="2"/>
      <x:c r="H20" s="2"/>
    </x:row>
    <x:row r="21">
      <x:c r="A21" s="9"/>
      <x:c r="B21" s="9"/>
      <x:c r="C21" s="9"/>
      <x:c r="D21" s="9"/>
      <x:c r="E21" s="2"/>
      <x:c r="F21" s="2"/>
      <x:c r="G21" s="2"/>
      <x:c r="H21" s="2"/>
    </x:row>
    <x:row r="22" ht="28" customHeight="1">
      <x:c r="A22" s="8" t="str">
        <x:v>Screening issue</x:v>
      </x:c>
      <x:c r="B22" s="8" t="str">
        <x:v>Observed basis</x:v>
      </x:c>
      <x:c r="C22" s="9"/>
      <x:c r="D22" s="8" t="str">
        <x:v>Investor question</x:v>
      </x:c>
      <x:c r="E22" s="2"/>
      <x:c r="F22" s="2"/>
      <x:c r="G22" s="2"/>
      <x:c r="H22" s="2"/>
    </x:row>
    <x:row r="23" ht="66" customHeight="1">
      <x:c r="A23" s="9" t="str">
        <x:v>Business</x:v>
      </x:c>
      <x:c r="B23" s="9" t="str">
        <x:v>Origination and transaction execution with internal software.</x:v>
      </x:c>
      <x:c r="C23" s="9"/>
      <x:c r="D23" s="9" t="str">
        <x:v>Will the investor fund an operating services company?</x:v>
      </x:c>
      <x:c r="E23" s="2"/>
      <x:c r="F23" s="2"/>
      <x:c r="G23" s="2"/>
      <x:c r="H23" s="2"/>
    </x:row>
    <x:row r="24" ht="66" customHeight="1">
      <x:c r="A24" s="9" t="str">
        <x:v>Revenue evidence</x:v>
      </x:c>
      <x:c r="B24" s="9" t="str">
        <x:v>Projected fees and EBITDA are conditional forecasts.</x:v>
      </x:c>
      <x:c r="C24" s="9"/>
      <x:c r="D24" s="9" t="str">
        <x:v>What current revenue, closings and acquisition costs are demonstrated?</x:v>
      </x:c>
      <x:c r="E24" s="2"/>
      <x:c r="F24" s="2"/>
      <x:c r="G24" s="2"/>
      <x:c r="H24" s="2"/>
    </x:row>
    <x:row r="25" ht="66" customHeight="1">
      <x:c r="A25" s="9" t="str">
        <x:v>Trial volume</x:v>
      </x:c>
      <x:c r="B25" s="9" t="str">
        <x:v>500 qualifying submissions; fees earned on closing.</x:v>
      </x:c>
      <x:c r="C25" s="9"/>
      <x:c r="D25" s="9" t="str">
        <x:v>What acceptance, fallout and closing rates support the forecast?</x:v>
      </x:c>
      <x:c r="E25" s="2"/>
      <x:c r="F25" s="2"/>
      <x:c r="G25" s="2"/>
      <x:c r="H25" s="2"/>
    </x:row>
    <x:row r="26" ht="66" customHeight="1">
      <x:c r="A26" s="9" t="str">
        <x:v>Expansion / exit</x:v>
      </x:c>
      <x:c r="B26" s="9" t="str">
        <x:v>Discussion near submission 450; no definitive expansion or acquisition.</x:v>
      </x:c>
      <x:c r="C26" s="9"/>
      <x:c r="D26" s="9" t="str">
        <x:v>Can the trial justify investment without a follow-on or sale?</x:v>
      </x:c>
      <x:c r="E26" s="2"/>
      <x:c r="F26" s="2"/>
      <x:c r="G26" s="2"/>
      <x:c r="H26" s="2"/>
    </x:row>
    <x:row r="27" ht="66" customHeight="1">
      <x:c r="A27" s="9" t="str">
        <x:v>Funding model</x:v>
      </x:c>
      <x:c r="B27" s="9" t="str">
        <x:v>Saved HTML assumes a $2.5M bank facility for stage two.</x:v>
      </x:c>
      <x:c r="C27" s="9"/>
      <x:c r="D27" s="9" t="str">
        <x:v>Confirm the selected funding plan; it differs from a second $500K cash-equity scenario.</x:v>
      </x:c>
      <x:c r="E27" s="2"/>
      <x:c r="F27" s="2"/>
      <x:c r="G27" s="2"/>
      <x:c r="H27" s="2"/>
    </x:row>
    <x:row r="28" ht="66" customHeight="1">
      <x:c r="A28" s="9" t="str">
        <x:v>Investment terms</x:v>
      </x:c>
      <x:c r="B28" s="9" t="str">
        <x:v>Common ownership proposal; no guaranteed 50% return established.</x:v>
      </x:c>
      <x:c r="C28" s="9"/>
      <x:c r="D28" s="9" t="str">
        <x:v>Confirm governing documents, share issuance/transfer, distributions and dilution.</x:v>
      </x:c>
      <x:c r="E28" s="2"/>
      <x:c r="F28" s="2"/>
      <x:c r="G28" s="2"/>
      <x:c r="H28" s="2"/>
    </x:row>
    <x:row r="29">
      <x:c r="A29" s="2"/>
      <x:c r="B29" s="2"/>
      <x:c r="C29" s="2"/>
      <x:c r="D29" s="2"/>
      <x:c r="E29" s="2"/>
      <x:c r="F29" s="2"/>
      <x:c r="G29" s="2"/>
      <x:c r="H29" s="2"/>
    </x:row>
    <x:row r="30">
      <x:c r="A30" s="20" t="str">
        <x:v>Sources: user outreach reference; supplied HTML model (TERMS, seed and computation); redacted trial pages 3–5 and12.</x:v>
      </x:c>
      <x:c r="B30" s="2"/>
      <x:c r="C30" s="2"/>
      <x:c r="D30" s="2"/>
      <x:c r="E30" s="2"/>
      <x:c r="F30" s="2"/>
      <x:c r="G30" s="2"/>
      <x:c r="H30" s="2"/>
    </x:row>
    <x:row r="31">
      <x:c r="A31" s="20" t="str">
        <x:v>Contact and investment-policy sources are recorded in Investment evidence. Blank contacts and check limits mean not found / unconfirmed.</x:v>
      </x:c>
      <x:c r="B31" s="2"/>
      <x:c r="C31" s="2"/>
      <x:c r="D31" s="2"/>
      <x:c r="E31" s="2"/>
      <x:c r="F31" s="2"/>
      <x:c r="G31" s="2"/>
      <x:c r="H31" s="2"/>
    </x:row>
  </x:sheetData>
  <x:pageMargins left="0.7" right="0.7" top="0.75" bottom="0.75" header="0.3" footer="0.3"/>
</x:worksheet>
</file>

<file path=xl/worksheets/sheet2.xml><?xml version="1.0" encoding="utf-8"?>
<x:worksheet xmlns:x="http://schemas.openxmlformats.org/spreadsheetml/2006/main">
  <x:sheetPr>
    <x:tabColor rgb="FF213A56"/>
  </x:sheetPr>
  <x:sheetViews>
    <x:sheetView showGridLines="0" workbookViewId="0">
      <x:pane xSplit="2" ySplit="4" topLeftCell="C5" activePane="bottomRight" state="frozen"/>
    </x:sheetView>
  </x:sheetViews>
  <x:sheetFormatPr defaultRowHeight="15"/>
  <x:cols>
    <x:col min="1" max="1" width="18" hidden="0" customWidth="1"/>
    <x:col min="2" max="2" width="30" hidden="0" customWidth="1"/>
    <x:col min="3" max="3" width="25" hidden="0" customWidth="1"/>
    <x:col min="4" max="4" width="27" hidden="0" customWidth="1"/>
    <x:col min="5" max="5" width="25" hidden="0" customWidth="1"/>
    <x:col min="6" max="6" width="43" hidden="0" customWidth="1"/>
    <x:col min="7" max="7" width="34" hidden="0" customWidth="1"/>
    <x:col min="8" max="8" width="34" hidden="0" customWidth="1"/>
    <x:col min="9" max="9" width="35" hidden="0" customWidth="1"/>
    <x:col min="10" max="10" width="20" hidden="0" customWidth="1"/>
    <x:col min="11" max="11" width="20" hidden="0" customWidth="1"/>
    <x:col min="12" max="12" width="48" hidden="0" customWidth="1"/>
    <x:col min="13" max="13" width="30" hidden="0" customWidth="1"/>
    <x:col min="14" max="14" width="34" hidden="0" customWidth="1"/>
    <x:col min="15" max="15" width="22" hidden="0" customWidth="1"/>
    <x:col min="16" max="16" width="24" hidden="0" customWidth="1"/>
    <x:col min="17" max="17" width="33" hidden="0" customWidth="1"/>
    <x:col min="18" max="18" width="20" hidden="0" customWidth="1"/>
    <x:col min="19" max="19" width="18" hidden="0" customWidth="1"/>
    <x:col min="20" max="20" width="65" hidden="0" customWidth="1"/>
    <x:col min="21" max="21" width="18" hidden="0" customWidth="1"/>
  </x:cols>
  <x:sheetData>
    <x:row r="1">
      <x:c r="A1" s="2"/>
      <x:c r="B1" s="2"/>
      <x:c r="C1" s="2"/>
      <x:c r="D1" s="2"/>
      <x:c r="E1" s="2"/>
      <x:c r="F1" s="2"/>
      <x:c r="G1" s="2"/>
      <x:c r="H1" s="2"/>
      <x:c r="I1" s="2"/>
      <x:c r="J1" s="2"/>
      <x:c r="K1" s="2"/>
      <x:c r="L1" s="2"/>
      <x:c r="M1" s="2"/>
      <x:c r="N1" s="2"/>
      <x:c r="O1" s="2"/>
      <x:c r="P1" s="2"/>
      <x:c r="Q1" s="2"/>
      <x:c r="R1" s="2"/>
      <x:c r="S1" s="2"/>
      <x:c r="T1" s="2"/>
      <x:c r="U1" s="2"/>
    </x:row>
    <x:row r="2">
      <x:c r="A2" s="3" t="str">
        <x:v>CapitalForge equity investor directory</x:v>
      </x:c>
      <x:c r="B2" s="2"/>
      <x:c r="C2" s="2"/>
      <x:c r="D2" s="2"/>
      <x:c r="E2" s="2"/>
      <x:c r="F2" s="2"/>
      <x:c r="G2" s="2"/>
      <x:c r="H2" s="2"/>
      <x:c r="I2" s="2"/>
      <x:c r="J2" s="2"/>
      <x:c r="K2" s="2"/>
      <x:c r="L2" s="2"/>
      <x:c r="M2" s="2"/>
      <x:c r="N2" s="2"/>
      <x:c r="O2" s="2"/>
      <x:c r="P2" s="2"/>
      <x:c r="Q2" s="2"/>
      <x:c r="R2" s="2"/>
      <x:c r="S2" s="2"/>
      <x:c r="T2" s="2"/>
      <x:c r="U2" s="2"/>
    </x:row>
    <x:row r="3">
      <x:c r="A3" s="4" t="str">
        <x:v>Observed September 30, 2026. Detailed restrictions and source links are in Investment evidence, joined by Contact ID.</x:v>
      </x:c>
      <x:c r="B3" s="2"/>
      <x:c r="C3" s="2"/>
      <x:c r="D3" s="2"/>
      <x:c r="E3" s="2"/>
      <x:c r="F3" s="2"/>
      <x:c r="G3" s="2"/>
      <x:c r="H3" s="2"/>
      <x:c r="I3" s="2"/>
      <x:c r="J3" s="2"/>
      <x:c r="K3" s="2"/>
      <x:c r="L3" s="2"/>
      <x:c r="M3" s="2"/>
      <x:c r="N3" s="2"/>
      <x:c r="O3" s="2"/>
      <x:c r="P3" s="2"/>
      <x:c r="Q3" s="2"/>
      <x:c r="R3" s="2"/>
      <x:c r="S3" s="2"/>
      <x:c r="T3" s="2"/>
      <x:c r="U3" s="2"/>
    </x:row>
    <x:row r="4" ht="36" customHeight="1">
      <x:c r="A4" s="8" t="str">
        <x:v>Contact ID</x:v>
      </x:c>
      <x:c r="B4" s="8" t="str">
        <x:v>Company / vehicle</x:v>
      </x:c>
      <x:c r="C4" s="8" t="str">
        <x:v>Named contact</x:v>
      </x:c>
      <x:c r="D4" s="8" t="str">
        <x:v>Category</x:v>
      </x:c>
      <x:c r="E4" s="8" t="str">
        <x:v>Public phone</x:v>
      </x:c>
      <x:c r="F4" s="8" t="str">
        <x:v>Public email</x:v>
      </x:c>
      <x:c r="G4" s="8" t="str">
        <x:v>Phone route</x:v>
      </x:c>
      <x:c r="H4" s="8" t="str">
        <x:v>Email route</x:v>
      </x:c>
      <x:c r="I4" s="8" t="str">
        <x:v>Published $500K check</x:v>
      </x:c>
      <x:c r="J4" s="8" t="str">
        <x:v>Minimum check (USD)</x:v>
      </x:c>
      <x:c r="K4" s="8" t="str">
        <x:v>Maximum check (USD)</x:v>
      </x:c>
      <x:c r="L4" s="8" t="str">
        <x:v>Location / focus</x:v>
      </x:c>
      <x:c r="M4" s="8" t="str">
        <x:v>Title</x:v>
      </x:c>
      <x:c r="N4" s="8" t="str">
        <x:v>Screen</x:v>
      </x:c>
      <x:c r="O4" s="8" t="str">
        <x:v>Outreach stage</x:v>
      </x:c>
      <x:c r="P4" s="8" t="str">
        <x:v>Owner</x:v>
      </x:c>
      <x:c r="Q4" s="8" t="str">
        <x:v>Acceptance</x:v>
      </x:c>
      <x:c r="R4" s="8" t="str">
        <x:v>Available cash</x:v>
      </x:c>
      <x:c r="S4" s="8" t="str">
        <x:v>Observed date</x:v>
      </x:c>
      <x:c r="T4" s="8" t="str">
        <x:v>Website</x:v>
      </x:c>
      <x:c r="U4" s="8" t="str">
        <x:v>Vehicle ID</x:v>
      </x:c>
    </x:row>
    <x:row r="5" ht="55" customHeight="1">
      <x:c r="A5" s="10" t="str">
        <x:v>b133c21ace21a3</x:v>
      </x:c>
      <x:c r="B5" s="10" t="str">
        <x:v>Contour Venture Partners</x:v>
      </x:c>
      <x:c r="C5" s="10" t="str"/>
      <x:c r="D5" s="10" t="str">
        <x:v>Corporate equity firm</x:v>
      </x:c>
      <x:c r="E5" s="12" t="str">
        <x:v>1 (212) 644-5481</x:v>
      </x:c>
      <x:c r="F5" s="12" t="str">
        <x:v>businessplan@contourventures.com</x:v>
      </x:c>
      <x:c r="G5" s="10" t="str">
        <x:v>Published business line; directness unconfirmed</x:v>
      </x:c>
      <x:c r="H5" s="10" t="str">
        <x:v>Published firm inbox</x:v>
      </x:c>
      <x:c r="I5" s="10" t="str">
        <x:v>Published range overlaps $500K</x:v>
      </x:c>
      <x:c r="J5" s="11" t="n">
        <x:v>500000</x:v>
      </x:c>
      <x:c r="K5" s="11" t="n">
        <x:v>2000000</x:v>
      </x:c>
      <x:c r="L5" s="10" t="str">
        <x:v>country: US business context requires source-specific verification; city: ; state: </x:v>
      </x:c>
      <x:c r="M5" s="10" t="str">
        <x:v>Published corporate routing contact</x:v>
      </x:c>
      <x:c r="N5" s="10" t="str">
        <x:v>Conditional research prospect</x:v>
      </x:c>
      <x:c r="O5" s="13" t="str">
        <x:v>new</x:v>
      </x:c>
      <x:c r="P5" s="13" t="str"/>
      <x:c r="Q5" s="10" t="str">
        <x:v>Not contacted / unconfirmed</x:v>
      </x:c>
      <x:c r="R5" s="10" t="str">
        <x:v>unverified</x:v>
      </x:c>
      <x:c r="S5" s="10" t="str">
        <x:v>2026-09-30</x:v>
      </x:c>
      <x:c r="T5" s="10" t="str">
        <x:v>https://www.contourventures.com/</x:v>
      </x:c>
      <x:c r="U5" s="10" t="str">
        <x:v>7f1ad44f4e3c4b</x:v>
      </x:c>
    </x:row>
    <x:row r="6" ht="55" customHeight="1">
      <x:c r="A6" s="10" t="str">
        <x:v>80bb0dc565fe47</x:v>
      </x:c>
      <x:c r="B6" s="10" t="str">
        <x:v>Revelry Venture Partners</x:v>
      </x:c>
      <x:c r="C6" s="10" t="str"/>
      <x:c r="D6" s="10" t="str">
        <x:v>Corporate equity firm</x:v>
      </x:c>
      <x:c r="E6" s="12" t="str">
        <x:v>1 (504) 535-5227</x:v>
      </x:c>
      <x:c r="F6" s="12" t="str">
        <x:v>hello@revelry.co</x:v>
      </x:c>
      <x:c r="G6" s="10" t="str">
        <x:v>Published business line; directness unconfirmed</x:v>
      </x:c>
      <x:c r="H6" s="10" t="str">
        <x:v>Published firm inbox</x:v>
      </x:c>
      <x:c r="I6" s="10" t="str">
        <x:v>Published range overlaps $500K</x:v>
      </x:c>
      <x:c r="J6" s="11" t="n">
        <x:v>250000</x:v>
      </x:c>
      <x:c r="K6" s="11" t="n">
        <x:v>500000</x:v>
      </x:c>
      <x:c r="L6" s="10" t="str">
        <x:v>country: US business context requires source-specific verification; city: ; state: </x:v>
      </x:c>
      <x:c r="M6" s="10" t="str">
        <x:v>Published corporate routing contact</x:v>
      </x:c>
      <x:c r="N6" s="10" t="str">
        <x:v>Conditional research prospect</x:v>
      </x:c>
      <x:c r="O6" s="13" t="str">
        <x:v>new</x:v>
      </x:c>
      <x:c r="P6" s="13" t="str"/>
      <x:c r="Q6" s="10" t="str">
        <x:v>Not contacted / unconfirmed</x:v>
      </x:c>
      <x:c r="R6" s="10" t="str">
        <x:v>unverified</x:v>
      </x:c>
      <x:c r="S6" s="10" t="str">
        <x:v>2026-09-30</x:v>
      </x:c>
      <x:c r="T6" s="10" t="str">
        <x:v>https://revelry.co/</x:v>
      </x:c>
      <x:c r="U6" s="10" t="str">
        <x:v>d51358f446354f</x:v>
      </x:c>
    </x:row>
    <x:row r="7" ht="55" customHeight="1">
      <x:c r="A7" s="10" t="str">
        <x:v>5aa486125731e8</x:v>
      </x:c>
      <x:c r="B7" s="10" t="str">
        <x:v>Patterson Thoma Family Office</x:v>
      </x:c>
      <x:c r="C7" s="10" t="str"/>
      <x:c r="D7" s="10" t="str">
        <x:v>Family investment firm</x:v>
      </x:c>
      <x:c r="E7" s="12" t="str">
        <x:v>1 (214) 978-3831</x:v>
      </x:c>
      <x:c r="F7" s="12" t="str">
        <x:v>newinvestments@pattersonthoma.com</x:v>
      </x:c>
      <x:c r="G7" s="10" t="str">
        <x:v>professional_business_contact_as_published</x:v>
      </x:c>
      <x:c r="H7" s="10" t="str">
        <x:v>Published firm inbox</x:v>
      </x:c>
      <x:c r="I7" s="10" t="str">
        <x:v>Published range overlaps $500K</x:v>
      </x:c>
      <x:c r="J7" s="11" t="n">
        <x:v>100000</x:v>
      </x:c>
      <x:c r="K7" s="11" t="n">
        <x:v>20000000</x:v>
      </x:c>
      <x:c r="L7" s="10" t="str">
        <x:v>Dallas, Texas office published on contact page.</x:v>
      </x:c>
      <x:c r="M7" s="10" t="str"/>
      <x:c r="N7" s="10" t="str">
        <x:v>Conditional research prospect</x:v>
      </x:c>
      <x:c r="O7" s="13" t="str">
        <x:v>new</x:v>
      </x:c>
      <x:c r="P7" s="13" t="str"/>
      <x:c r="Q7" s="10" t="str">
        <x:v>Not contacted / unconfirmed</x:v>
      </x:c>
      <x:c r="R7" s="10" t="str">
        <x:v>unverified</x:v>
      </x:c>
      <x:c r="S7" s="10" t="str">
        <x:v>2026-09-30</x:v>
      </x:c>
      <x:c r="T7" s="10" t="str">
        <x:v>https://pattersonthoma.com/</x:v>
      </x:c>
      <x:c r="U7" s="10" t="str">
        <x:v>4bc0eaa9576d52</x:v>
      </x:c>
    </x:row>
    <x:row r="8" ht="55" customHeight="1">
      <x:c r="A8" s="10" t="str">
        <x:v>c57e414cedb025</x:v>
      </x:c>
      <x:c r="B8" s="10" t="str">
        <x:v>Act One Ventures</x:v>
      </x:c>
      <x:c r="C8" s="10" t="str">
        <x:v>Alejandro Guerrero</x:v>
      </x:c>
      <x:c r="D8" s="10" t="str">
        <x:v>Named investor / firm principal</x:v>
      </x:c>
      <x:c r="E8" s="12" t="str">
        <x:v>1 (424) 272-1873</x:v>
      </x:c>
      <x:c r="F8" s="12" t="str">
        <x:v>info@actoneventures.com</x:v>
      </x:c>
      <x:c r="G8" s="10" t="str">
        <x:v>Published SEC business-office routing number</x:v>
      </x:c>
      <x:c r="H8" s="10" t="str">
        <x:v>published_firm_inbox_routing</x:v>
      </x:c>
      <x:c r="I8" s="10" t="str">
        <x:v>Published range overlaps $500K</x:v>
      </x:c>
      <x:c r="J8" s="11" t="n">
        <x:v>500000</x:v>
      </x:c>
      <x:c r="K8" s="11" t="n">
        <x:v>2000000</x:v>
      </x:c>
      <x:c r="L8" s="10" t="str">
        <x:v>San Francisco, United States; geography open</x:v>
      </x:c>
      <x:c r="M8" s="10" t="str">
        <x:v>Co-Founder &amp; General Partner</x:v>
      </x:c>
      <x:c r="N8" s="10" t="str">
        <x:v>Conditional research prospect</x:v>
      </x:c>
      <x:c r="O8" s="13" t="str">
        <x:v>new</x:v>
      </x:c>
      <x:c r="P8" s="13" t="str"/>
      <x:c r="Q8" s="10" t="str">
        <x:v>Not contacted / unconfirmed</x:v>
      </x:c>
      <x:c r="R8" s="10" t="str">
        <x:v>unverified</x:v>
      </x:c>
      <x:c r="S8" s="10" t="str">
        <x:v>2026-09-30</x:v>
      </x:c>
      <x:c r="T8" s="10" t="str">
        <x:v>https://www.actoneventures.com/llm-info</x:v>
      </x:c>
      <x:c r="U8" s="10" t="str">
        <x:v>98ea732ac8e075</x:v>
      </x:c>
    </x:row>
    <x:row r="9" ht="55" customHeight="1">
      <x:c r="A9" s="10" t="str">
        <x:v>de00e42af29969</x:v>
      </x:c>
      <x:c r="B9" s="10" t="str">
        <x:v>Contour Venture Partners</x:v>
      </x:c>
      <x:c r="C9" s="10" t="str">
        <x:v>Bob Greene</x:v>
      </x:c>
      <x:c r="D9" s="10" t="str">
        <x:v>Named investor / firm principal</x:v>
      </x:c>
      <x:c r="E9" s="12" t="str">
        <x:v>1 (212) 644-5481</x:v>
      </x:c>
      <x:c r="F9" s="12" t="str">
        <x:v>bob@contourventures.com</x:v>
      </x:c>
      <x:c r="G9" s="10" t="str">
        <x:v>named_published_business_office_number</x:v>
      </x:c>
      <x:c r="H9" s="10" t="str">
        <x:v>named_published_professional_email</x:v>
      </x:c>
      <x:c r="I9" s="10" t="str">
        <x:v>Published range overlaps $500K</x:v>
      </x:c>
      <x:c r="J9" s="11" t="n">
        <x:v>500000</x:v>
      </x:c>
      <x:c r="K9" s="11" t="n">
        <x:v>2000000</x:v>
      </x:c>
      <x:c r="L9" s="10" t="str">
        <x:v>New York, NY</x:v>
      </x:c>
      <x:c r="M9" s="10" t="str">
        <x:v>Co-Founder</x:v>
      </x:c>
      <x:c r="N9" s="10" t="str">
        <x:v>Conditional research prospect</x:v>
      </x:c>
      <x:c r="O9" s="13" t="str">
        <x:v>new</x:v>
      </x:c>
      <x:c r="P9" s="13" t="str"/>
      <x:c r="Q9" s="10" t="str">
        <x:v>Not contacted / unconfirmed</x:v>
      </x:c>
      <x:c r="R9" s="10" t="str">
        <x:v>unverified</x:v>
      </x:c>
      <x:c r="S9" s="10" t="str">
        <x:v>2026-09-30</x:v>
      </x:c>
      <x:c r="T9" s="10" t="str">
        <x:v>https://www.contourventures.com/team</x:v>
      </x:c>
      <x:c r="U9" s="10" t="str">
        <x:v>7f1ad44f4e3c4b</x:v>
      </x:c>
    </x:row>
    <x:row r="10" ht="55" customHeight="1">
      <x:c r="A10" s="10" t="str">
        <x:v>e7add6a8c50ffc</x:v>
      </x:c>
      <x:c r="B10" s="10" t="str">
        <x:v>Contour Venture Partners</x:v>
      </x:c>
      <x:c r="C10" s="10" t="str">
        <x:v>Matt Gorin</x:v>
      </x:c>
      <x:c r="D10" s="10" t="str">
        <x:v>Named investor / firm principal</x:v>
      </x:c>
      <x:c r="E10" s="12" t="str">
        <x:v>1 (212) 644-5482</x:v>
      </x:c>
      <x:c r="F10" s="12" t="str">
        <x:v>matt@contourventures.com</x:v>
      </x:c>
      <x:c r="G10" s="10" t="str">
        <x:v>named_published_business_office_number</x:v>
      </x:c>
      <x:c r="H10" s="10" t="str">
        <x:v>named_published_professional_email</x:v>
      </x:c>
      <x:c r="I10" s="10" t="str">
        <x:v>Published range overlaps $500K</x:v>
      </x:c>
      <x:c r="J10" s="11" t="n">
        <x:v>500000</x:v>
      </x:c>
      <x:c r="K10" s="11" t="n">
        <x:v>2000000</x:v>
      </x:c>
      <x:c r="L10" s="10" t="str">
        <x:v>New York / Northeast industry hubs</x:v>
      </x:c>
      <x:c r="M10" s="10" t="str">
        <x:v>Co-Founder</x:v>
      </x:c>
      <x:c r="N10" s="10" t="str">
        <x:v>Conditional research prospect</x:v>
      </x:c>
      <x:c r="O10" s="13" t="str">
        <x:v>new</x:v>
      </x:c>
      <x:c r="P10" s="13" t="str"/>
      <x:c r="Q10" s="10" t="str">
        <x:v>Not contacted / unconfirmed</x:v>
      </x:c>
      <x:c r="R10" s="10" t="str">
        <x:v>unverified</x:v>
      </x:c>
      <x:c r="S10" s="10" t="str">
        <x:v>2026-09-30</x:v>
      </x:c>
      <x:c r="T10" s="10" t="str">
        <x:v>https://www.contourventures.com/team</x:v>
      </x:c>
      <x:c r="U10" s="10" t="str">
        <x:v>7f1ad44f4e3c4b</x:v>
      </x:c>
    </x:row>
    <x:row r="11" ht="55" customHeight="1">
      <x:c r="A11" s="10" t="str">
        <x:v>c893598b019b21</x:v>
      </x:c>
      <x:c r="B11" s="10" t="str">
        <x:v>Grotech Ventures</x:v>
      </x:c>
      <x:c r="C11" s="10" t="str">
        <x:v>Chuck Cullen</x:v>
      </x:c>
      <x:c r="D11" s="10" t="str">
        <x:v>Named investor / firm principal</x:v>
      </x:c>
      <x:c r="E11" s="12" t="str">
        <x:v>1 (703) 637-9555</x:v>
      </x:c>
      <x:c r="F11" s="12" t="str">
        <x:v>ccullen@grotech.com</x:v>
      </x:c>
      <x:c r="G11" s="10" t="str">
        <x:v>published_firm_mainline</x:v>
      </x:c>
      <x:c r="H11" s="10" t="str">
        <x:v>named_published_professional_email</x:v>
      </x:c>
      <x:c r="I11" s="10" t="str">
        <x:v>Published range overlaps $500K</x:v>
      </x:c>
      <x:c r="J11" s="11" t="n">
        <x:v>500000</x:v>
      </x:c>
      <x:c r="K11" s="11" t="n">
        <x:v>5000000</x:v>
      </x:c>
      <x:c r="L11" s="10" t="str">
        <x:v>Owings Mills, MD</x:v>
      </x:c>
      <x:c r="M11" s="10" t="str">
        <x:v>General Partner, COO and CFO</x:v>
      </x:c>
      <x:c r="N11" s="10" t="str">
        <x:v>Conditional research prospect</x:v>
      </x:c>
      <x:c r="O11" s="13" t="str">
        <x:v>new</x:v>
      </x:c>
      <x:c r="P11" s="13" t="str"/>
      <x:c r="Q11" s="10" t="str">
        <x:v>Not contacted / unconfirmed</x:v>
      </x:c>
      <x:c r="R11" s="10" t="str">
        <x:v>unverified</x:v>
      </x:c>
      <x:c r="S11" s="10" t="str">
        <x:v>2026-09-30</x:v>
      </x:c>
      <x:c r="T11" s="10" t="str">
        <x:v>https://www.grotech.com/team/chuck-cullen</x:v>
      </x:c>
      <x:c r="U11" s="10" t="str">
        <x:v>ab359792a1afab</x:v>
      </x:c>
    </x:row>
    <x:row r="12" ht="55" customHeight="1">
      <x:c r="A12" s="10" t="str">
        <x:v>8f8a77763f88ae</x:v>
      </x:c>
      <x:c r="B12" s="10" t="str">
        <x:v>Grotech Ventures</x:v>
      </x:c>
      <x:c r="C12" s="10" t="str">
        <x:v>Julia Taxin</x:v>
      </x:c>
      <x:c r="D12" s="10" t="str">
        <x:v>Named investor / firm principal</x:v>
      </x:c>
      <x:c r="E12" s="12" t="str">
        <x:v>1 (703) 637-9555</x:v>
      </x:c>
      <x:c r="F12" s="12" t="str">
        <x:v>jtaxin@grotech.com</x:v>
      </x:c>
      <x:c r="G12" s="10" t="str">
        <x:v>published_firm_mainline</x:v>
      </x:c>
      <x:c r="H12" s="10" t="str">
        <x:v>named_published_professional_email</x:v>
      </x:c>
      <x:c r="I12" s="10" t="str">
        <x:v>Published range overlaps $500K</x:v>
      </x:c>
      <x:c r="J12" s="11" t="n">
        <x:v>500000</x:v>
      </x:c>
      <x:c r="K12" s="11" t="n">
        <x:v>5000000</x:v>
      </x:c>
      <x:c r="L12" s="10" t="str">
        <x:v>United States outside Silicon Valley</x:v>
      </x:c>
      <x:c r="M12" s="10" t="str">
        <x:v>Venture Partner</x:v>
      </x:c>
      <x:c r="N12" s="10" t="str">
        <x:v>Conditional research prospect</x:v>
      </x:c>
      <x:c r="O12" s="13" t="str">
        <x:v>new</x:v>
      </x:c>
      <x:c r="P12" s="13" t="str"/>
      <x:c r="Q12" s="10" t="str">
        <x:v>Not contacted / unconfirmed</x:v>
      </x:c>
      <x:c r="R12" s="10" t="str">
        <x:v>unverified</x:v>
      </x:c>
      <x:c r="S12" s="10" t="str">
        <x:v>2026-09-30</x:v>
      </x:c>
      <x:c r="T12" s="10" t="str">
        <x:v>https://www.grotech.com/team/julia-taxin</x:v>
      </x:c>
      <x:c r="U12" s="10" t="str">
        <x:v>ab359792a1afab</x:v>
      </x:c>
    </x:row>
    <x:row r="13" ht="55" customHeight="1">
      <x:c r="A13" s="10" t="str">
        <x:v>f747141b10bd15</x:v>
      </x:c>
      <x:c r="B13" s="10" t="str">
        <x:v>Grotech Ventures</x:v>
      </x:c>
      <x:c r="C13" s="10" t="str">
        <x:v>Lawson DeVries</x:v>
      </x:c>
      <x:c r="D13" s="10" t="str">
        <x:v>Named investor / firm principal</x:v>
      </x:c>
      <x:c r="E13" s="12" t="str">
        <x:v>1 (703) 637-9555</x:v>
      </x:c>
      <x:c r="F13" s="12" t="str">
        <x:v>ldevries@grotech.com</x:v>
      </x:c>
      <x:c r="G13" s="10" t="str">
        <x:v>published_firm_mainline</x:v>
      </x:c>
      <x:c r="H13" s="10" t="str">
        <x:v>named_published_professional_email</x:v>
      </x:c>
      <x:c r="I13" s="10" t="str">
        <x:v>Published range overlaps $500K</x:v>
      </x:c>
      <x:c r="J13" s="11" t="n">
        <x:v>500000</x:v>
      </x:c>
      <x:c r="K13" s="11" t="n">
        <x:v>5000000</x:v>
      </x:c>
      <x:c r="L13" s="10" t="str">
        <x:v>Owings Mills, MD</x:v>
      </x:c>
      <x:c r="M13" s="10" t="str">
        <x:v>Managing General Partner</x:v>
      </x:c>
      <x:c r="N13" s="10" t="str">
        <x:v>Conditional research prospect</x:v>
      </x:c>
      <x:c r="O13" s="13" t="str">
        <x:v>new</x:v>
      </x:c>
      <x:c r="P13" s="13" t="str"/>
      <x:c r="Q13" s="10" t="str">
        <x:v>Not contacted / unconfirmed</x:v>
      </x:c>
      <x:c r="R13" s="10" t="str">
        <x:v>unverified</x:v>
      </x:c>
      <x:c r="S13" s="10" t="str">
        <x:v>2026-09-30</x:v>
      </x:c>
      <x:c r="T13" s="10" t="str">
        <x:v>https://www.grotech.com/team/lawson-devries</x:v>
      </x:c>
      <x:c r="U13" s="10" t="str">
        <x:v>ab359792a1afab</x:v>
      </x:c>
    </x:row>
    <x:row r="14" ht="55" customHeight="1">
      <x:c r="A14" s="10" t="str">
        <x:v>b0f79d381fc00b</x:v>
      </x:c>
      <x:c r="B14" s="10" t="str">
        <x:v>Grotech Ventures</x:v>
      </x:c>
      <x:c r="C14" s="10" t="str">
        <x:v>Steve Fredrick</x:v>
      </x:c>
      <x:c r="D14" s="10" t="str">
        <x:v>Named investor / firm principal</x:v>
      </x:c>
      <x:c r="E14" s="12" t="str">
        <x:v>1 (703) 637-9555</x:v>
      </x:c>
      <x:c r="F14" s="12" t="str">
        <x:v>sfredrick@grotech.com</x:v>
      </x:c>
      <x:c r="G14" s="10" t="str">
        <x:v>published_firm_mainline</x:v>
      </x:c>
      <x:c r="H14" s="10" t="str">
        <x:v>named_published_professional_email</x:v>
      </x:c>
      <x:c r="I14" s="10" t="str">
        <x:v>Published range overlaps $500K</x:v>
      </x:c>
      <x:c r="J14" s="11" t="n">
        <x:v>500000</x:v>
      </x:c>
      <x:c r="K14" s="11" t="n">
        <x:v>5000000</x:v>
      </x:c>
      <x:c r="L14" s="10" t="str">
        <x:v>Owings Mills, MD</x:v>
      </x:c>
      <x:c r="M14" s="10" t="str">
        <x:v>General Partner</x:v>
      </x:c>
      <x:c r="N14" s="10" t="str">
        <x:v>Conditional research prospect</x:v>
      </x:c>
      <x:c r="O14" s="13" t="str">
        <x:v>new</x:v>
      </x:c>
      <x:c r="P14" s="13" t="str"/>
      <x:c r="Q14" s="10" t="str">
        <x:v>Not contacted / unconfirmed</x:v>
      </x:c>
      <x:c r="R14" s="10" t="str">
        <x:v>unverified</x:v>
      </x:c>
      <x:c r="S14" s="10" t="str">
        <x:v>2026-09-30</x:v>
      </x:c>
      <x:c r="T14" s="10" t="str">
        <x:v>https://www.grotech.com/team/steve-fredrick</x:v>
      </x:c>
      <x:c r="U14" s="10" t="str">
        <x:v>ab359792a1afab</x:v>
      </x:c>
    </x:row>
    <x:row r="15" ht="55" customHeight="1">
      <x:c r="A15" s="10" t="str">
        <x:v>369db8c8ba5a82</x:v>
      </x:c>
      <x:c r="B15" s="10" t="str">
        <x:v>Inspired Capital</x:v>
      </x:c>
      <x:c r="C15" s="10" t="str">
        <x:v>Alexa Gellman</x:v>
      </x:c>
      <x:c r="D15" s="10" t="str">
        <x:v>Named investor / firm principal</x:v>
      </x:c>
      <x:c r="E15" s="12" t="str">
        <x:v>1 (617) 417-3999</x:v>
      </x:c>
      <x:c r="F15" s="12" t="str">
        <x:v>gellman@inspiredcapital.com</x:v>
      </x:c>
      <x:c r="G15" s="10" t="str">
        <x:v>Published SEC business-office routing number</x:v>
      </x:c>
      <x:c r="H15" s="10" t="str">
        <x:v>named_published_professional_email</x:v>
      </x:c>
      <x:c r="I15" s="10" t="str">
        <x:v>Published range overlaps $500K</x:v>
      </x:c>
      <x:c r="J15" s="11" t="n">
        <x:v>500000</x:v>
      </x:c>
      <x:c r="K15" s="11" t="n">
        <x:v>20000000</x:v>
      </x:c>
      <x:c r="L15" s="10" t="str">
        <x:v>New York, NY</x:v>
      </x:c>
      <x:c r="M15" s="10" t="str">
        <x:v>Principal</x:v>
      </x:c>
      <x:c r="N15" s="10" t="str">
        <x:v>Conditional research prospect</x:v>
      </x:c>
      <x:c r="O15" s="13" t="str">
        <x:v>new</x:v>
      </x:c>
      <x:c r="P15" s="13" t="str"/>
      <x:c r="Q15" s="10" t="str">
        <x:v>Not contacted / unconfirmed</x:v>
      </x:c>
      <x:c r="R15" s="10" t="str">
        <x:v>unverified</x:v>
      </x:c>
      <x:c r="S15" s="10" t="str">
        <x:v>2026-09-30</x:v>
      </x:c>
      <x:c r="T15" s="10" t="str">
        <x:v>https://www.inspiredcapital.com/team</x:v>
      </x:c>
      <x:c r="U15" s="10" t="str">
        <x:v>ebe2132d947bc2</x:v>
      </x:c>
    </x:row>
    <x:row r="16" ht="55" customHeight="1">
      <x:c r="A16" s="10" t="str">
        <x:v>abd478341607f4</x:v>
      </x:c>
      <x:c r="B16" s="10" t="str">
        <x:v>Inspired Capital</x:v>
      </x:c>
      <x:c r="C16" s="10" t="str">
        <x:v>Alexa von Tobel</x:v>
      </x:c>
      <x:c r="D16" s="10" t="str">
        <x:v>Named investor / firm principal</x:v>
      </x:c>
      <x:c r="E16" s="12" t="str">
        <x:v>1 (617) 417-3999</x:v>
      </x:c>
      <x:c r="F16" s="12" t="str">
        <x:v>alexa@inspiredcapital.com</x:v>
      </x:c>
      <x:c r="G16" s="10" t="str">
        <x:v>Published SEC business-office routing number</x:v>
      </x:c>
      <x:c r="H16" s="10" t="str">
        <x:v>named_published_professional_email</x:v>
      </x:c>
      <x:c r="I16" s="10" t="str">
        <x:v>Published range overlaps $500K</x:v>
      </x:c>
      <x:c r="J16" s="11" t="n">
        <x:v>500000</x:v>
      </x:c>
      <x:c r="K16" s="11" t="n">
        <x:v>20000000</x:v>
      </x:c>
      <x:c r="L16" s="10" t="str">
        <x:v>New York, NY</x:v>
      </x:c>
      <x:c r="M16" s="10" t="str">
        <x:v>Founder and Managing Partner</x:v>
      </x:c>
      <x:c r="N16" s="10" t="str">
        <x:v>Conditional research prospect</x:v>
      </x:c>
      <x:c r="O16" s="13" t="str">
        <x:v>new</x:v>
      </x:c>
      <x:c r="P16" s="13" t="str"/>
      <x:c r="Q16" s="10" t="str">
        <x:v>Not contacted / unconfirmed</x:v>
      </x:c>
      <x:c r="R16" s="10" t="str">
        <x:v>unverified</x:v>
      </x:c>
      <x:c r="S16" s="10" t="str">
        <x:v>2026-09-30</x:v>
      </x:c>
      <x:c r="T16" s="10" t="str">
        <x:v>https://www.inspiredcapital.com/</x:v>
      </x:c>
      <x:c r="U16" s="10" t="str">
        <x:v>ebe2132d947bc2</x:v>
      </x:c>
    </x:row>
    <x:row r="17" ht="55" customHeight="1">
      <x:c r="A17" s="10" t="str">
        <x:v>187339754bfa4b</x:v>
      </x:c>
      <x:c r="B17" s="10" t="str">
        <x:v>Inspired Capital</x:v>
      </x:c>
      <x:c r="C17" s="10" t="str">
        <x:v>Charlotte Ross</x:v>
      </x:c>
      <x:c r="D17" s="10" t="str">
        <x:v>Named investor / firm principal</x:v>
      </x:c>
      <x:c r="E17" s="12" t="str">
        <x:v>1 (617) 417-3999</x:v>
      </x:c>
      <x:c r="F17" s="12" t="str">
        <x:v>charlotte@inspiredcapital.com</x:v>
      </x:c>
      <x:c r="G17" s="10" t="str">
        <x:v>Published SEC business-office routing number</x:v>
      </x:c>
      <x:c r="H17" s="10" t="str">
        <x:v>named_published_professional_email</x:v>
      </x:c>
      <x:c r="I17" s="10" t="str">
        <x:v>Published range overlaps $500K</x:v>
      </x:c>
      <x:c r="J17" s="11" t="n">
        <x:v>500000</x:v>
      </x:c>
      <x:c r="K17" s="11" t="n">
        <x:v>20000000</x:v>
      </x:c>
      <x:c r="L17" s="10" t="str">
        <x:v>New York, NY</x:v>
      </x:c>
      <x:c r="M17" s="10" t="str">
        <x:v>Partner</x:v>
      </x:c>
      <x:c r="N17" s="10" t="str">
        <x:v>Conditional research prospect</x:v>
      </x:c>
      <x:c r="O17" s="13" t="str">
        <x:v>new</x:v>
      </x:c>
      <x:c r="P17" s="13" t="str"/>
      <x:c r="Q17" s="10" t="str">
        <x:v>Not contacted / unconfirmed</x:v>
      </x:c>
      <x:c r="R17" s="10" t="str">
        <x:v>unverified</x:v>
      </x:c>
      <x:c r="S17" s="10" t="str">
        <x:v>2026-09-30</x:v>
      </x:c>
      <x:c r="T17" s="10" t="str">
        <x:v>https://www.inspiredcapital.com/</x:v>
      </x:c>
      <x:c r="U17" s="10" t="str">
        <x:v>ebe2132d947bc2</x:v>
      </x:c>
    </x:row>
    <x:row r="18" ht="55" customHeight="1">
      <x:c r="A18" s="10" t="str">
        <x:v>f5734f30c02570</x:v>
      </x:c>
      <x:c r="B18" s="10" t="str">
        <x:v>Inspired Capital</x:v>
      </x:c>
      <x:c r="C18" s="10" t="str">
        <x:v>Chris Brown</x:v>
      </x:c>
      <x:c r="D18" s="10" t="str">
        <x:v>Named investor / firm principal</x:v>
      </x:c>
      <x:c r="E18" s="12" t="str">
        <x:v>1 (617) 417-3999</x:v>
      </x:c>
      <x:c r="F18" s="12" t="str">
        <x:v>chris@inspiredcapital.com</x:v>
      </x:c>
      <x:c r="G18" s="10" t="str">
        <x:v>Published SEC business-office routing number</x:v>
      </x:c>
      <x:c r="H18" s="10" t="str">
        <x:v>named_published_professional_email</x:v>
      </x:c>
      <x:c r="I18" s="10" t="str">
        <x:v>Published range overlaps $500K</x:v>
      </x:c>
      <x:c r="J18" s="11" t="n">
        <x:v>500000</x:v>
      </x:c>
      <x:c r="K18" s="11" t="n">
        <x:v>20000000</x:v>
      </x:c>
      <x:c r="L18" s="10" t="str">
        <x:v>New York, NY</x:v>
      </x:c>
      <x:c r="M18" s="10" t="str">
        <x:v>Partner</x:v>
      </x:c>
      <x:c r="N18" s="10" t="str">
        <x:v>Conditional research prospect</x:v>
      </x:c>
      <x:c r="O18" s="13" t="str">
        <x:v>new</x:v>
      </x:c>
      <x:c r="P18" s="13" t="str"/>
      <x:c r="Q18" s="10" t="str">
        <x:v>Not contacted / unconfirmed</x:v>
      </x:c>
      <x:c r="R18" s="10" t="str">
        <x:v>unverified</x:v>
      </x:c>
      <x:c r="S18" s="10" t="str">
        <x:v>2026-09-30</x:v>
      </x:c>
      <x:c r="T18" s="10" t="str">
        <x:v>https://www.inspiredcapital.com/</x:v>
      </x:c>
      <x:c r="U18" s="10" t="str">
        <x:v>ebe2132d947bc2</x:v>
      </x:c>
    </x:row>
    <x:row r="19" ht="55" customHeight="1">
      <x:c r="A19" s="10" t="str">
        <x:v>49f8fc68bb8f16</x:v>
      </x:c>
      <x:c r="B19" s="10" t="str">
        <x:v>Inspired Capital</x:v>
      </x:c>
      <x:c r="C19" s="10" t="str">
        <x:v>Kamran Ali</x:v>
      </x:c>
      <x:c r="D19" s="10" t="str">
        <x:v>Named investor / firm principal</x:v>
      </x:c>
      <x:c r="E19" s="12" t="str">
        <x:v>1 (617) 417-3999</x:v>
      </x:c>
      <x:c r="F19" s="12" t="str">
        <x:v>kamran@inspiredcapital.com</x:v>
      </x:c>
      <x:c r="G19" s="10" t="str">
        <x:v>Published SEC business-office routing number</x:v>
      </x:c>
      <x:c r="H19" s="10" t="str">
        <x:v>named_published_professional_email</x:v>
      </x:c>
      <x:c r="I19" s="10" t="str">
        <x:v>Published range overlaps $500K</x:v>
      </x:c>
      <x:c r="J19" s="11" t="n">
        <x:v>500000</x:v>
      </x:c>
      <x:c r="K19" s="11" t="n">
        <x:v>20000000</x:v>
      </x:c>
      <x:c r="L19" s="10" t="str">
        <x:v>New York, NY</x:v>
      </x:c>
      <x:c r="M19" s="10" t="str">
        <x:v>Partner</x:v>
      </x:c>
      <x:c r="N19" s="10" t="str">
        <x:v>Conditional research prospect</x:v>
      </x:c>
      <x:c r="O19" s="13" t="str">
        <x:v>new</x:v>
      </x:c>
      <x:c r="P19" s="13" t="str"/>
      <x:c r="Q19" s="10" t="str">
        <x:v>Not contacted / unconfirmed</x:v>
      </x:c>
      <x:c r="R19" s="10" t="str">
        <x:v>unverified</x:v>
      </x:c>
      <x:c r="S19" s="10" t="str">
        <x:v>2026-09-30</x:v>
      </x:c>
      <x:c r="T19" s="10" t="str">
        <x:v>https://www.inspiredcapital.com/</x:v>
      </x:c>
      <x:c r="U19" s="10" t="str">
        <x:v>ebe2132d947bc2</x:v>
      </x:c>
    </x:row>
    <x:row r="20" ht="55" customHeight="1">
      <x:c r="A20" s="10" t="str">
        <x:v>63e5fa32b3754c</x:v>
      </x:c>
      <x:c r="B20" s="10" t="str">
        <x:v>Inspired Capital</x:v>
      </x:c>
      <x:c r="C20" s="10" t="str">
        <x:v>Lucy Deland</x:v>
      </x:c>
      <x:c r="D20" s="10" t="str">
        <x:v>Named investor / firm principal</x:v>
      </x:c>
      <x:c r="E20" s="12" t="str">
        <x:v>1 (617) 417-3999</x:v>
      </x:c>
      <x:c r="F20" s="12" t="str">
        <x:v>lucy@inspiredcapital.com</x:v>
      </x:c>
      <x:c r="G20" s="10" t="str">
        <x:v>Published SEC business-office routing number</x:v>
      </x:c>
      <x:c r="H20" s="10" t="str">
        <x:v>named_published_professional_email</x:v>
      </x:c>
      <x:c r="I20" s="10" t="str">
        <x:v>Published range overlaps $500K</x:v>
      </x:c>
      <x:c r="J20" s="11" t="n">
        <x:v>500000</x:v>
      </x:c>
      <x:c r="K20" s="11" t="n">
        <x:v>20000000</x:v>
      </x:c>
      <x:c r="L20" s="10" t="str">
        <x:v>New York, NY</x:v>
      </x:c>
      <x:c r="M20" s="10" t="str">
        <x:v>General Partner</x:v>
      </x:c>
      <x:c r="N20" s="10" t="str">
        <x:v>Conditional research prospect</x:v>
      </x:c>
      <x:c r="O20" s="13" t="str">
        <x:v>new</x:v>
      </x:c>
      <x:c r="P20" s="13" t="str"/>
      <x:c r="Q20" s="10" t="str">
        <x:v>Not contacted / unconfirmed</x:v>
      </x:c>
      <x:c r="R20" s="10" t="str">
        <x:v>unverified</x:v>
      </x:c>
      <x:c r="S20" s="10" t="str">
        <x:v>2026-09-30</x:v>
      </x:c>
      <x:c r="T20" s="10" t="str">
        <x:v>https://www.inspiredcapital.com/</x:v>
      </x:c>
      <x:c r="U20" s="10" t="str">
        <x:v>ebe2132d947bc2</x:v>
      </x:c>
    </x:row>
    <x:row r="21" ht="55" customHeight="1">
      <x:c r="A21" s="10" t="str">
        <x:v>148ff4d549af12</x:v>
      </x:c>
      <x:c r="B21" s="10" t="str">
        <x:v>Inspired Capital</x:v>
      </x:c>
      <x:c r="C21" s="10" t="str">
        <x:v>Mark Batsiyan</x:v>
      </x:c>
      <x:c r="D21" s="10" t="str">
        <x:v>Named investor / firm principal</x:v>
      </x:c>
      <x:c r="E21" s="12" t="str">
        <x:v>1 (617) 417-3999</x:v>
      </x:c>
      <x:c r="F21" s="12" t="str">
        <x:v>mark@inspiredcapital.com</x:v>
      </x:c>
      <x:c r="G21" s="10" t="str">
        <x:v>Published SEC business-office routing number</x:v>
      </x:c>
      <x:c r="H21" s="10" t="str">
        <x:v>named_published_professional_email</x:v>
      </x:c>
      <x:c r="I21" s="10" t="str">
        <x:v>Published range overlaps $500K</x:v>
      </x:c>
      <x:c r="J21" s="11" t="n">
        <x:v>500000</x:v>
      </x:c>
      <x:c r="K21" s="11" t="n">
        <x:v>20000000</x:v>
      </x:c>
      <x:c r="L21" s="10" t="str">
        <x:v>New York, NY</x:v>
      </x:c>
      <x:c r="M21" s="10" t="str">
        <x:v>General Partner</x:v>
      </x:c>
      <x:c r="N21" s="10" t="str">
        <x:v>Conditional research prospect</x:v>
      </x:c>
      <x:c r="O21" s="13" t="str">
        <x:v>new</x:v>
      </x:c>
      <x:c r="P21" s="13" t="str"/>
      <x:c r="Q21" s="10" t="str">
        <x:v>Not contacted / unconfirmed</x:v>
      </x:c>
      <x:c r="R21" s="10" t="str">
        <x:v>unverified</x:v>
      </x:c>
      <x:c r="S21" s="10" t="str">
        <x:v>2026-09-30</x:v>
      </x:c>
      <x:c r="T21" s="10" t="str">
        <x:v>https://www.inspiredcapital.com/</x:v>
      </x:c>
      <x:c r="U21" s="10" t="str">
        <x:v>ebe2132d947bc2</x:v>
      </x:c>
    </x:row>
    <x:row r="22" ht="55" customHeight="1">
      <x:c r="A22" s="10" t="str">
        <x:v>ec886a674ad2bd</x:v>
      </x:c>
      <x:c r="B22" s="10" t="str">
        <x:v>Inspired Capital</x:v>
      </x:c>
      <x:c r="C22" s="10" t="str">
        <x:v>Penny Pritzker</x:v>
      </x:c>
      <x:c r="D22" s="10" t="str">
        <x:v>Named investor / firm principal</x:v>
      </x:c>
      <x:c r="E22" s="12" t="str">
        <x:v>1 (617) 417-3999</x:v>
      </x:c>
      <x:c r="F22" s="12" t="str">
        <x:v>penny@inspiredcapital.com</x:v>
      </x:c>
      <x:c r="G22" s="10" t="str">
        <x:v>Published SEC business-office routing number</x:v>
      </x:c>
      <x:c r="H22" s="10" t="str">
        <x:v>named_published_professional_email</x:v>
      </x:c>
      <x:c r="I22" s="10" t="str">
        <x:v>Published range overlaps $500K</x:v>
      </x:c>
      <x:c r="J22" s="11" t="n">
        <x:v>500000</x:v>
      </x:c>
      <x:c r="K22" s="11" t="n">
        <x:v>20000000</x:v>
      </x:c>
      <x:c r="L22" s="10" t="str">
        <x:v>New York, NY</x:v>
      </x:c>
      <x:c r="M22" s="10" t="str">
        <x:v>Co-Founder</x:v>
      </x:c>
      <x:c r="N22" s="10" t="str">
        <x:v>Conditional research prospect</x:v>
      </x:c>
      <x:c r="O22" s="13" t="str">
        <x:v>new</x:v>
      </x:c>
      <x:c r="P22" s="13" t="str"/>
      <x:c r="Q22" s="10" t="str">
        <x:v>Not contacted / unconfirmed</x:v>
      </x:c>
      <x:c r="R22" s="10" t="str">
        <x:v>unverified</x:v>
      </x:c>
      <x:c r="S22" s="10" t="str">
        <x:v>2026-09-30</x:v>
      </x:c>
      <x:c r="T22" s="10" t="str">
        <x:v>https://www.inspiredcapital.com/</x:v>
      </x:c>
      <x:c r="U22" s="10" t="str">
        <x:v>ebe2132d947bc2</x:v>
      </x:c>
    </x:row>
    <x:row r="23" ht="55" customHeight="1">
      <x:c r="A23" s="10" t="str">
        <x:v>a722941af2113a</x:v>
      </x:c>
      <x:c r="B23" s="10" t="str">
        <x:v>Laconia</x:v>
      </x:c>
      <x:c r="C23" s="10" t="str">
        <x:v>David Arcara</x:v>
      </x:c>
      <x:c r="D23" s="10" t="str">
        <x:v>Named investor / firm principal</x:v>
      </x:c>
      <x:c r="E23" s="12" t="str">
        <x:v>1 (917) 214-0564</x:v>
      </x:c>
      <x:c r="F23" s="12" t="str">
        <x:v>david@laconiacapitalgroup.com</x:v>
      </x:c>
      <x:c r="G23" s="10" t="str">
        <x:v>Published SEC business-office routing number</x:v>
      </x:c>
      <x:c r="H23" s="10" t="str">
        <x:v>named_published_professional_email</x:v>
      </x:c>
      <x:c r="I23" s="10" t="str">
        <x:v>Published range overlaps $500K</x:v>
      </x:c>
      <x:c r="J23" s="11" t="n">
        <x:v>250000</x:v>
      </x:c>
      <x:c r="K23" s="11" t="n">
        <x:v>1000000</x:v>
      </x:c>
      <x:c r="L23" s="10" t="str">
        <x:v>Primarily United States and Canada</x:v>
      </x:c>
      <x:c r="M23" s="10" t="str">
        <x:v>Partner</x:v>
      </x:c>
      <x:c r="N23" s="10" t="str">
        <x:v>Conditional research prospect</x:v>
      </x:c>
      <x:c r="O23" s="13" t="str">
        <x:v>new</x:v>
      </x:c>
      <x:c r="P23" s="13" t="str"/>
      <x:c r="Q23" s="10" t="str">
        <x:v>Not contacted / unconfirmed</x:v>
      </x:c>
      <x:c r="R23" s="10" t="str">
        <x:v>unverified</x:v>
      </x:c>
      <x:c r="S23" s="10" t="str">
        <x:v>2026-09-30</x:v>
      </x:c>
      <x:c r="T23" s="10" t="str">
        <x:v>https://www.laconiacapitalgroup.com/people</x:v>
      </x:c>
      <x:c r="U23" s="10" t="str">
        <x:v>5209df76ece051</x:v>
      </x:c>
    </x:row>
    <x:row r="24" ht="55" customHeight="1">
      <x:c r="A24" s="10" t="str">
        <x:v>3e2b6729196352</x:v>
      </x:c>
      <x:c r="B24" s="10" t="str">
        <x:v>Laconia</x:v>
      </x:c>
      <x:c r="C24" s="10" t="str">
        <x:v>Geri Kirilova</x:v>
      </x:c>
      <x:c r="D24" s="10" t="str">
        <x:v>Named investor / firm principal</x:v>
      </x:c>
      <x:c r="E24" s="12" t="str">
        <x:v>1 (917) 214-0564</x:v>
      </x:c>
      <x:c r="F24" s="12" t="str">
        <x:v>geri@laconiacapitalgroup.com</x:v>
      </x:c>
      <x:c r="G24" s="10" t="str">
        <x:v>Published SEC business-office routing number</x:v>
      </x:c>
      <x:c r="H24" s="10" t="str">
        <x:v>named_published_professional_email</x:v>
      </x:c>
      <x:c r="I24" s="10" t="str">
        <x:v>Published range overlaps $500K</x:v>
      </x:c>
      <x:c r="J24" s="11" t="n">
        <x:v>250000</x:v>
      </x:c>
      <x:c r="K24" s="11" t="n">
        <x:v>1000000</x:v>
      </x:c>
      <x:c r="L24" s="10" t="str">
        <x:v>New York, NY</x:v>
      </x:c>
      <x:c r="M24" s="10" t="str">
        <x:v>Partner</x:v>
      </x:c>
      <x:c r="N24" s="10" t="str">
        <x:v>Conditional research prospect</x:v>
      </x:c>
      <x:c r="O24" s="13" t="str">
        <x:v>new</x:v>
      </x:c>
      <x:c r="P24" s="13" t="str"/>
      <x:c r="Q24" s="10" t="str">
        <x:v>Not contacted / unconfirmed</x:v>
      </x:c>
      <x:c r="R24" s="10" t="str">
        <x:v>unverified</x:v>
      </x:c>
      <x:c r="S24" s="10" t="str">
        <x:v>2026-09-30</x:v>
      </x:c>
      <x:c r="T24" s="10" t="str">
        <x:v>https://www.laconiacapitalgroup.com/people</x:v>
      </x:c>
      <x:c r="U24" s="10" t="str">
        <x:v>5209df76ece051</x:v>
      </x:c>
    </x:row>
    <x:row r="25" ht="55" customHeight="1">
      <x:c r="A25" s="10" t="str">
        <x:v>dd83a2db62d961</x:v>
      </x:c>
      <x:c r="B25" s="10" t="str">
        <x:v>Laconia</x:v>
      </x:c>
      <x:c r="C25" s="10" t="str">
        <x:v>Jeffrey Silverman</x:v>
      </x:c>
      <x:c r="D25" s="10" t="str">
        <x:v>Named investor / firm principal</x:v>
      </x:c>
      <x:c r="E25" s="12" t="str">
        <x:v>1 (917) 214-0564</x:v>
      </x:c>
      <x:c r="F25" s="12" t="str">
        <x:v>jeffrey@laconiacapitalgroup.com</x:v>
      </x:c>
      <x:c r="G25" s="10" t="str">
        <x:v>Published SEC business-office routing number</x:v>
      </x:c>
      <x:c r="H25" s="10" t="str">
        <x:v>named_published_professional_email</x:v>
      </x:c>
      <x:c r="I25" s="10" t="str">
        <x:v>Published range overlaps $500K</x:v>
      </x:c>
      <x:c r="J25" s="11" t="n">
        <x:v>250000</x:v>
      </x:c>
      <x:c r="K25" s="11" t="n">
        <x:v>1000000</x:v>
      </x:c>
      <x:c r="L25" s="10" t="str">
        <x:v>New York, NY</x:v>
      </x:c>
      <x:c r="M25" s="10" t="str">
        <x:v>Co-Founder and Partner</x:v>
      </x:c>
      <x:c r="N25" s="10" t="str">
        <x:v>Conditional research prospect</x:v>
      </x:c>
      <x:c r="O25" s="13" t="str">
        <x:v>new</x:v>
      </x:c>
      <x:c r="P25" s="13" t="str"/>
      <x:c r="Q25" s="10" t="str">
        <x:v>Not contacted / unconfirmed</x:v>
      </x:c>
      <x:c r="R25" s="10" t="str">
        <x:v>unverified</x:v>
      </x:c>
      <x:c r="S25" s="10" t="str">
        <x:v>2026-09-30</x:v>
      </x:c>
      <x:c r="T25" s="10" t="str">
        <x:v>https://www.laconiacapitalgroup.com/people</x:v>
      </x:c>
      <x:c r="U25" s="10" t="str">
        <x:v>5209df76ece051</x:v>
      </x:c>
    </x:row>
    <x:row r="26" ht="55" customHeight="1">
      <x:c r="A26" s="10" t="str">
        <x:v>1f1d86be686a30</x:v>
      </x:c>
      <x:c r="B26" s="10" t="str">
        <x:v>Legacy Growth Partners</x:v>
      </x:c>
      <x:c r="C26" s="10" t="str">
        <x:v>Corey Galloway</x:v>
      </x:c>
      <x:c r="D26" s="10" t="str">
        <x:v>Named investor / firm principal</x:v>
      </x:c>
      <x:c r="E26" s="12" t="str">
        <x:v>1 (646) 773-0308</x:v>
      </x:c>
      <x:c r="F26" s="12" t="str">
        <x:v>corey@legacygrowthpartners.com</x:v>
      </x:c>
      <x:c r="G26" s="10" t="str">
        <x:v>published_business_mainline</x:v>
      </x:c>
      <x:c r="H26" s="10" t="str">
        <x:v>named_published_professional_email</x:v>
      </x:c>
      <x:c r="I26" s="10" t="str">
        <x:v>Published range overlaps $500K</x:v>
      </x:c>
      <x:c r="J26" s="11" t="n">
        <x:v>500000</x:v>
      </x:c>
      <x:c r="K26" s="11" t="n">
        <x:v>3000000</x:v>
      </x:c>
      <x:c r="L26" s="10" t="str">
        <x:v>New York, NY</x:v>
      </x:c>
      <x:c r="M26" s="10" t="str">
        <x:v>Founder</x:v>
      </x:c>
      <x:c r="N26" s="10" t="str">
        <x:v>Conditional research prospect</x:v>
      </x:c>
      <x:c r="O26" s="13" t="str">
        <x:v>new</x:v>
      </x:c>
      <x:c r="P26" s="13" t="str"/>
      <x:c r="Q26" s="10" t="str">
        <x:v>Not contacted / unconfirmed</x:v>
      </x:c>
      <x:c r="R26" s="10" t="str">
        <x:v>unverified</x:v>
      </x:c>
      <x:c r="S26" s="10" t="str">
        <x:v>2026-09-30</x:v>
      </x:c>
      <x:c r="T26" s="10" t="str">
        <x:v>https://www.legacygrowthpartners.com/TheTeam.html</x:v>
      </x:c>
      <x:c r="U26" s="10" t="str">
        <x:v>17e500050894c4</x:v>
      </x:c>
    </x:row>
    <x:row r="27" ht="55" customHeight="1">
      <x:c r="A27" s="10" t="str">
        <x:v>c55b4bc7861f0b</x:v>
      </x:c>
      <x:c r="B27" s="10" t="str">
        <x:v>Magnolia Ventures</x:v>
      </x:c>
      <x:c r="C27" s="10" t="str">
        <x:v>Graham C. Phillips</x:v>
      </x:c>
      <x:c r="D27" s="10" t="str">
        <x:v>Named investor / firm principal</x:v>
      </x:c>
      <x:c r="E27" s="12" t="str">
        <x:v>1 (646) 448-6819</x:v>
      </x:c>
      <x:c r="F27" s="12" t="str">
        <x:v>info@magventuresllc.com</x:v>
      </x:c>
      <x:c r="G27" s="10" t="str">
        <x:v>published_firm_mainline</x:v>
      </x:c>
      <x:c r="H27" s="10" t="str">
        <x:v>published_firm_inbox_routing</x:v>
      </x:c>
      <x:c r="I27" s="10" t="str">
        <x:v>Published range overlaps $500K</x:v>
      </x:c>
      <x:c r="J27" s="11" t="n">
        <x:v>50000</x:v>
      </x:c>
      <x:c r="K27" s="11" t="n">
        <x:v>1000000</x:v>
      </x:c>
      <x:c r="L27" s="10" t="str">
        <x:v>New York, NY</x:v>
      </x:c>
      <x:c r="M27" s="10" t="str">
        <x:v>Venture Partner</x:v>
      </x:c>
      <x:c r="N27" s="10" t="str">
        <x:v>Conditional research prospect</x:v>
      </x:c>
      <x:c r="O27" s="13" t="str">
        <x:v>new</x:v>
      </x:c>
      <x:c r="P27" s="13" t="str"/>
      <x:c r="Q27" s="10" t="str">
        <x:v>Not contacted / unconfirmed</x:v>
      </x:c>
      <x:c r="R27" s="10" t="str">
        <x:v>unverified</x:v>
      </x:c>
      <x:c r="S27" s="10" t="str">
        <x:v>2026-09-30</x:v>
      </x:c>
      <x:c r="T27" s="10" t="str">
        <x:v>https://magventuresllc.com/services/</x:v>
      </x:c>
      <x:c r="U27" s="10" t="str">
        <x:v>e9b09d936d0793</x:v>
      </x:c>
    </x:row>
    <x:row r="28" ht="55" customHeight="1">
      <x:c r="A28" s="10" t="str">
        <x:v>43012b21c979c1</x:v>
      </x:c>
      <x:c r="B28" s="10" t="str">
        <x:v>Magnolia Ventures</x:v>
      </x:c>
      <x:c r="C28" s="10" t="str">
        <x:v>Philip H. Reicherz</x:v>
      </x:c>
      <x:c r="D28" s="10" t="str">
        <x:v>Named investor / firm principal</x:v>
      </x:c>
      <x:c r="E28" s="12" t="str">
        <x:v>1 (646) 448-6819</x:v>
      </x:c>
      <x:c r="F28" s="12" t="str">
        <x:v>info@magventuresllc.com</x:v>
      </x:c>
      <x:c r="G28" s="10" t="str">
        <x:v>published_firm_mainline</x:v>
      </x:c>
      <x:c r="H28" s="10" t="str">
        <x:v>published_firm_inbox_routing</x:v>
      </x:c>
      <x:c r="I28" s="10" t="str">
        <x:v>Published range overlaps $500K</x:v>
      </x:c>
      <x:c r="J28" s="11" t="n">
        <x:v>50000</x:v>
      </x:c>
      <x:c r="K28" s="11" t="n">
        <x:v>1000000</x:v>
      </x:c>
      <x:c r="L28" s="10" t="str">
        <x:v>New York, NY</x:v>
      </x:c>
      <x:c r="M28" s="10" t="str">
        <x:v>Founder and Managing Partner</x:v>
      </x:c>
      <x:c r="N28" s="10" t="str">
        <x:v>Conditional research prospect</x:v>
      </x:c>
      <x:c r="O28" s="13" t="str">
        <x:v>new</x:v>
      </x:c>
      <x:c r="P28" s="13" t="str"/>
      <x:c r="Q28" s="10" t="str">
        <x:v>Not contacted / unconfirmed</x:v>
      </x:c>
      <x:c r="R28" s="10" t="str">
        <x:v>unverified</x:v>
      </x:c>
      <x:c r="S28" s="10" t="str">
        <x:v>2026-09-30</x:v>
      </x:c>
      <x:c r="T28" s="10" t="str">
        <x:v>https://magventuresllc.com/services/</x:v>
      </x:c>
      <x:c r="U28" s="10" t="str">
        <x:v>e9b09d936d0793</x:v>
      </x:c>
    </x:row>
    <x:row r="29" ht="55" customHeight="1">
      <x:c r="A29" s="10" t="str">
        <x:v>03bac56188e25f</x:v>
      </x:c>
      <x:c r="B29" s="10" t="str">
        <x:v>Patterson Thoma Family Office</x:v>
      </x:c>
      <x:c r="C29" s="10" t="str">
        <x:v>Carrie Gillespie</x:v>
      </x:c>
      <x:c r="D29" s="10" t="str">
        <x:v>Named investor / firm principal</x:v>
      </x:c>
      <x:c r="E29" s="12" t="str">
        <x:v>1 (214) 978-3831</x:v>
      </x:c>
      <x:c r="F29" s="12" t="str">
        <x:v>newinvestments@pattersonthoma.com</x:v>
      </x:c>
      <x:c r="G29" s="10" t="str">
        <x:v>published_firm_mainline</x:v>
      </x:c>
      <x:c r="H29" s="10" t="str">
        <x:v>published_firm_inbox_routing</x:v>
      </x:c>
      <x:c r="I29" s="10" t="str">
        <x:v>Published range overlaps $500K</x:v>
      </x:c>
      <x:c r="J29" s="11" t="n">
        <x:v>100000</x:v>
      </x:c>
      <x:c r="K29" s="11" t="n">
        <x:v>20000000</x:v>
      </x:c>
      <x:c r="L29" s="10" t="str">
        <x:v>Dallas, TX</x:v>
      </x:c>
      <x:c r="M29" s="10" t="str">
        <x:v>Director</x:v>
      </x:c>
      <x:c r="N29" s="10" t="str">
        <x:v>Conditional research prospect</x:v>
      </x:c>
      <x:c r="O29" s="13" t="str">
        <x:v>new</x:v>
      </x:c>
      <x:c r="P29" s="13" t="str"/>
      <x:c r="Q29" s="10" t="str">
        <x:v>Not contacted / unconfirmed</x:v>
      </x:c>
      <x:c r="R29" s="10" t="str">
        <x:v>unverified</x:v>
      </x:c>
      <x:c r="S29" s="10" t="str">
        <x:v>2026-09-30</x:v>
      </x:c>
      <x:c r="T29" s="10" t="str">
        <x:v>https://pattersonthoma.com/company-profile/</x:v>
      </x:c>
      <x:c r="U29" s="10" t="str">
        <x:v>4bc0eaa9576d52</x:v>
      </x:c>
    </x:row>
    <x:row r="30" ht="55" customHeight="1">
      <x:c r="A30" s="10" t="str">
        <x:v>c763f18cd6d41b</x:v>
      </x:c>
      <x:c r="B30" s="10" t="str">
        <x:v>Patterson Thoma Family Office</x:v>
      </x:c>
      <x:c r="C30" s="10" t="str">
        <x:v>Cody Patterson</x:v>
      </x:c>
      <x:c r="D30" s="10" t="str">
        <x:v>Named investor / firm principal</x:v>
      </x:c>
      <x:c r="E30" s="12" t="str">
        <x:v>1 (214) 978-3831</x:v>
      </x:c>
      <x:c r="F30" s="12" t="str">
        <x:v>newinvestments@pattersonthoma.com</x:v>
      </x:c>
      <x:c r="G30" s="10" t="str">
        <x:v>published_firm_mainline</x:v>
      </x:c>
      <x:c r="H30" s="10" t="str">
        <x:v>published_firm_inbox_routing</x:v>
      </x:c>
      <x:c r="I30" s="10" t="str">
        <x:v>Published range overlaps $500K</x:v>
      </x:c>
      <x:c r="J30" s="11" t="n">
        <x:v>100000</x:v>
      </x:c>
      <x:c r="K30" s="11" t="n">
        <x:v>20000000</x:v>
      </x:c>
      <x:c r="L30" s="10" t="str">
        <x:v>Dallas, TX</x:v>
      </x:c>
      <x:c r="M30" s="10" t="str">
        <x:v>PT Venture Capital</x:v>
      </x:c>
      <x:c r="N30" s="10" t="str">
        <x:v>Conditional research prospect</x:v>
      </x:c>
      <x:c r="O30" s="13" t="str">
        <x:v>new</x:v>
      </x:c>
      <x:c r="P30" s="13" t="str"/>
      <x:c r="Q30" s="10" t="str">
        <x:v>Not contacted / unconfirmed</x:v>
      </x:c>
      <x:c r="R30" s="10" t="str">
        <x:v>unverified</x:v>
      </x:c>
      <x:c r="S30" s="10" t="str">
        <x:v>2026-09-30</x:v>
      </x:c>
      <x:c r="T30" s="10" t="str">
        <x:v>https://pattersonthoma.com/</x:v>
      </x:c>
      <x:c r="U30" s="10" t="str">
        <x:v>4bc0eaa9576d52</x:v>
      </x:c>
    </x:row>
    <x:row r="31" ht="55" customHeight="1">
      <x:c r="A31" s="10" t="str">
        <x:v>160b05e430f682</x:v>
      </x:c>
      <x:c r="B31" s="10" t="str">
        <x:v>Patterson Thoma Family Office</x:v>
      </x:c>
      <x:c r="C31" s="10" t="str">
        <x:v>Colin Patrick</x:v>
      </x:c>
      <x:c r="D31" s="10" t="str">
        <x:v>Named investor / firm principal</x:v>
      </x:c>
      <x:c r="E31" s="12" t="str">
        <x:v>1 (214) 978-3831</x:v>
      </x:c>
      <x:c r="F31" s="12" t="str">
        <x:v>newinvestments@pattersonthoma.com</x:v>
      </x:c>
      <x:c r="G31" s="10" t="str">
        <x:v>published_firm_mainline</x:v>
      </x:c>
      <x:c r="H31" s="10" t="str">
        <x:v>published_firm_inbox_routing</x:v>
      </x:c>
      <x:c r="I31" s="10" t="str">
        <x:v>Published range overlaps $500K</x:v>
      </x:c>
      <x:c r="J31" s="11" t="n">
        <x:v>100000</x:v>
      </x:c>
      <x:c r="K31" s="11" t="n">
        <x:v>20000000</x:v>
      </x:c>
      <x:c r="L31" s="10" t="str">
        <x:v>Dallas, TX</x:v>
      </x:c>
      <x:c r="M31" s="10" t="str">
        <x:v>Chief Investment Officer</x:v>
      </x:c>
      <x:c r="N31" s="10" t="str">
        <x:v>Conditional research prospect</x:v>
      </x:c>
      <x:c r="O31" s="13" t="str">
        <x:v>new</x:v>
      </x:c>
      <x:c r="P31" s="13" t="str"/>
      <x:c r="Q31" s="10" t="str">
        <x:v>Not contacted / unconfirmed</x:v>
      </x:c>
      <x:c r="R31" s="10" t="str">
        <x:v>unverified</x:v>
      </x:c>
      <x:c r="S31" s="10" t="str">
        <x:v>2026-09-30</x:v>
      </x:c>
      <x:c r="T31" s="10" t="str">
        <x:v>https://pattersonthoma.com/company-profile/</x:v>
      </x:c>
      <x:c r="U31" s="10" t="str">
        <x:v>4bc0eaa9576d52</x:v>
      </x:c>
    </x:row>
    <x:row r="32" ht="55" customHeight="1">
      <x:c r="A32" s="10" t="str">
        <x:v>3575a6bb5f0f99</x:v>
      </x:c>
      <x:c r="B32" s="10" t="str">
        <x:v>Patterson Thoma Family Office</x:v>
      </x:c>
      <x:c r="C32" s="10" t="str">
        <x:v>Dan Patterson</x:v>
      </x:c>
      <x:c r="D32" s="10" t="str">
        <x:v>Named investor / firm principal</x:v>
      </x:c>
      <x:c r="E32" s="12" t="str">
        <x:v>1 (214) 978-3831</x:v>
      </x:c>
      <x:c r="F32" s="12" t="str">
        <x:v>newinvestments@pattersonthoma.com</x:v>
      </x:c>
      <x:c r="G32" s="10" t="str">
        <x:v>published_firm_mainline</x:v>
      </x:c>
      <x:c r="H32" s="10" t="str">
        <x:v>published_firm_inbox_routing</x:v>
      </x:c>
      <x:c r="I32" s="10" t="str">
        <x:v>Published range overlaps $500K</x:v>
      </x:c>
      <x:c r="J32" s="11" t="n">
        <x:v>100000</x:v>
      </x:c>
      <x:c r="K32" s="11" t="n">
        <x:v>20000000</x:v>
      </x:c>
      <x:c r="L32" s="10" t="str">
        <x:v>Dallas, TX</x:v>
      </x:c>
      <x:c r="M32" s="10" t="str">
        <x:v>Principal</x:v>
      </x:c>
      <x:c r="N32" s="10" t="str">
        <x:v>Conditional research prospect</x:v>
      </x:c>
      <x:c r="O32" s="13" t="str">
        <x:v>new</x:v>
      </x:c>
      <x:c r="P32" s="13" t="str"/>
      <x:c r="Q32" s="10" t="str">
        <x:v>Not contacted / unconfirmed</x:v>
      </x:c>
      <x:c r="R32" s="10" t="str">
        <x:v>unverified</x:v>
      </x:c>
      <x:c r="S32" s="10" t="str">
        <x:v>2026-09-30</x:v>
      </x:c>
      <x:c r="T32" s="10" t="str">
        <x:v>https://pattersonthoma.com/company-profile/</x:v>
      </x:c>
      <x:c r="U32" s="10" t="str">
        <x:v>4bc0eaa9576d52</x:v>
      </x:c>
    </x:row>
    <x:row r="33" ht="55" customHeight="1">
      <x:c r="A33" s="10" t="str">
        <x:v>c79c8113c51483</x:v>
      </x:c>
      <x:c r="B33" s="10" t="str">
        <x:v>Patterson Thoma Family Office</x:v>
      </x:c>
      <x:c r="C33" s="10" t="str">
        <x:v>Robby Gillespie</x:v>
      </x:c>
      <x:c r="D33" s="10" t="str">
        <x:v>Named investor / firm principal</x:v>
      </x:c>
      <x:c r="E33" s="12" t="str">
        <x:v>1 (214) 978-3831</x:v>
      </x:c>
      <x:c r="F33" s="12" t="str">
        <x:v>newinvestments@pattersonthoma.com</x:v>
      </x:c>
      <x:c r="G33" s="10" t="str">
        <x:v>published_firm_mainline</x:v>
      </x:c>
      <x:c r="H33" s="10" t="str">
        <x:v>published_firm_inbox_routing</x:v>
      </x:c>
      <x:c r="I33" s="10" t="str">
        <x:v>Published range overlaps $500K</x:v>
      </x:c>
      <x:c r="J33" s="11" t="n">
        <x:v>100000</x:v>
      </x:c>
      <x:c r="K33" s="11" t="n">
        <x:v>20000000</x:v>
      </x:c>
      <x:c r="L33" s="10" t="str">
        <x:v>Dallas, TX</x:v>
      </x:c>
      <x:c r="M33" s="10" t="str">
        <x:v>PT Private Equity Lead</x:v>
      </x:c>
      <x:c r="N33" s="10" t="str">
        <x:v>Conditional research prospect</x:v>
      </x:c>
      <x:c r="O33" s="13" t="str">
        <x:v>new</x:v>
      </x:c>
      <x:c r="P33" s="13" t="str"/>
      <x:c r="Q33" s="10" t="str">
        <x:v>Not contacted / unconfirmed</x:v>
      </x:c>
      <x:c r="R33" s="10" t="str">
        <x:v>unverified</x:v>
      </x:c>
      <x:c r="S33" s="10" t="str">
        <x:v>2026-09-30</x:v>
      </x:c>
      <x:c r="T33" s="10" t="str">
        <x:v>https://pattersonthoma.com/company-profile/</x:v>
      </x:c>
      <x:c r="U33" s="10" t="str">
        <x:v>4bc0eaa9576d52</x:v>
      </x:c>
    </x:row>
    <x:row r="34" ht="55" customHeight="1">
      <x:c r="A34" s="10" t="str">
        <x:v>209f190b6e314f</x:v>
      </x:c>
      <x:c r="B34" s="10" t="str">
        <x:v>Solender Capital</x:v>
      </x:c>
      <x:c r="C34" s="10" t="str">
        <x:v>Jordan Solender</x:v>
      </x:c>
      <x:c r="D34" s="10" t="str">
        <x:v>Named investor / firm principal</x:v>
      </x:c>
      <x:c r="E34" s="12" t="str">
        <x:v>1 (301) 968-0965</x:v>
      </x:c>
      <x:c r="F34" s="12" t="str">
        <x:v>jordan.solender@solendermedia.com</x:v>
      </x:c>
      <x:c r="G34" s="10" t="str">
        <x:v>related_operating_company_business_mainline</x:v>
      </x:c>
      <x:c r="H34" s="10" t="str">
        <x:v>named_published_professional_email</x:v>
      </x:c>
      <x:c r="I34" s="10" t="str">
        <x:v>Published range overlaps $500K</x:v>
      </x:c>
      <x:c r="J34" s="11" t="n">
        <x:v>100000</x:v>
      </x:c>
      <x:c r="K34" s="11" t="n">
        <x:v>500000</x:v>
      </x:c>
      <x:c r="L34" s="10" t="str">
        <x:v>Maryland, United States</x:v>
      </x:c>
      <x:c r="M34" s="10" t="str">
        <x:v>Founder and operator-led investor</x:v>
      </x:c>
      <x:c r="N34" s="10" t="str">
        <x:v>Conditional research prospect</x:v>
      </x:c>
      <x:c r="O34" s="13" t="str">
        <x:v>new</x:v>
      </x:c>
      <x:c r="P34" s="13" t="str"/>
      <x:c r="Q34" s="10" t="str">
        <x:v>Not contacted / unconfirmed</x:v>
      </x:c>
      <x:c r="R34" s="10" t="str">
        <x:v>unverified</x:v>
      </x:c>
      <x:c r="S34" s="10" t="str">
        <x:v>2026-09-30</x:v>
      </x:c>
      <x:c r="T34" s="10" t="str">
        <x:v>https://www.jordansolender.com/solender-capital</x:v>
      </x:c>
      <x:c r="U34" s="10" t="str">
        <x:v>e81e5ed7f7b0b9</x:v>
      </x:c>
    </x:row>
    <x:row r="35" ht="55" customHeight="1">
      <x:c r="A35" s="10" t="str">
        <x:v>8f91640c968bdf</x:v>
      </x:c>
      <x:c r="B35" s="10" t="str">
        <x:v>Vertical Venture Partners</x:v>
      </x:c>
      <x:c r="C35" s="10" t="str">
        <x:v>Matt Schwab</x:v>
      </x:c>
      <x:c r="D35" s="10" t="str">
        <x:v>Named investor / firm principal</x:v>
      </x:c>
      <x:c r="E35" s="12" t="str">
        <x:v>1 (408) 888-6716</x:v>
      </x:c>
      <x:c r="F35" s="12" t="str">
        <x:v>matthew@vvp.vc</x:v>
      </x:c>
      <x:c r="G35" s="10" t="str">
        <x:v>Published SEC business-office routing number</x:v>
      </x:c>
      <x:c r="H35" s="10" t="str">
        <x:v>named_published_professional_email</x:v>
      </x:c>
      <x:c r="I35" s="10" t="str">
        <x:v>Published range overlaps $500K</x:v>
      </x:c>
      <x:c r="J35" s="11" t="n">
        <x:v>500000</x:v>
      </x:c>
      <x:c r="K35" s="11" t="n">
        <x:v>2500000</x:v>
      </x:c>
      <x:c r="L35" s="10" t="str">
        <x:v>Palo Alto and San Diego, California</x:v>
      </x:c>
      <x:c r="M35" s="10" t="str">
        <x:v>Senior Associate</x:v>
      </x:c>
      <x:c r="N35" s="10" t="str">
        <x:v>Conditional research prospect</x:v>
      </x:c>
      <x:c r="O35" s="13" t="str">
        <x:v>new</x:v>
      </x:c>
      <x:c r="P35" s="13" t="str"/>
      <x:c r="Q35" s="10" t="str">
        <x:v>Not contacted / unconfirmed</x:v>
      </x:c>
      <x:c r="R35" s="10" t="str">
        <x:v>unverified</x:v>
      </x:c>
      <x:c r="S35" s="10" t="str">
        <x:v>2026-09-30</x:v>
      </x:c>
      <x:c r="T35" s="10" t="str">
        <x:v>https://vvp.vc/team</x:v>
      </x:c>
      <x:c r="U35" s="10" t="str">
        <x:v>31767d44a474f1</x:v>
      </x:c>
    </x:row>
    <x:row r="36" ht="55" customHeight="1">
      <x:c r="A36" s="10" t="str">
        <x:v>a58b35170ed4aa</x:v>
      </x:c>
      <x:c r="B36" s="10" t="str">
        <x:v>Blumberg Capital</x:v>
      </x:c>
      <x:c r="C36" s="10" t="str"/>
      <x:c r="D36" s="10" t="str">
        <x:v>Venture / proptech firm</x:v>
      </x:c>
      <x:c r="E36" s="12" t="str">
        <x:v>1 (415) 209-5150</x:v>
      </x:c>
      <x:c r="F36" s="12" t="str">
        <x:v>info@blumbergcapital.com</x:v>
      </x:c>
      <x:c r="G36" s="10" t="str">
        <x:v>Published SEC business-office routing number</x:v>
      </x:c>
      <x:c r="H36" s="10" t="str">
        <x:v>firm_business_routing</x:v>
      </x:c>
      <x:c r="I36" s="10" t="str">
        <x:v>Published range overlaps $500K</x:v>
      </x:c>
      <x:c r="J36" s="11" t="n">
        <x:v>500000</x:v>
      </x:c>
      <x:c r="K36" s="11" t="n">
        <x:v>5000000</x:v>
      </x:c>
      <x:c r="L36" s="10" t="str">
        <x:v>San Francisco, New York, Miami / United States; Tel Aviv</x:v>
      </x:c>
      <x:c r="M36" s="10" t="str"/>
      <x:c r="N36" s="10" t="str">
        <x:v>Conditional research prospect</x:v>
      </x:c>
      <x:c r="O36" s="13" t="str">
        <x:v>new</x:v>
      </x:c>
      <x:c r="P36" s="13" t="str"/>
      <x:c r="Q36" s="10" t="str">
        <x:v>Not contacted / unconfirmed</x:v>
      </x:c>
      <x:c r="R36" s="10" t="str">
        <x:v>unverified</x:v>
      </x:c>
      <x:c r="S36" s="10" t="str">
        <x:v>2026-09-30</x:v>
      </x:c>
      <x:c r="T36" s="10" t="str">
        <x:v>https://blumbergcapital.com</x:v>
      </x:c>
      <x:c r="U36" s="10" t="str">
        <x:v>818afa6fa70a39</x:v>
      </x:c>
    </x:row>
    <x:row r="37" ht="55" customHeight="1">
      <x:c r="A37" s="10" t="str">
        <x:v>bbd927b3f656a6</x:v>
      </x:c>
      <x:c r="B37" s="10" t="str">
        <x:v>Connetic Ventures</x:v>
      </x:c>
      <x:c r="C37" s="10" t="str"/>
      <x:c r="D37" s="10" t="str">
        <x:v>Venture / proptech firm</x:v>
      </x:c>
      <x:c r="E37" s="12" t="str">
        <x:v>1 (859) 201-6235</x:v>
      </x:c>
      <x:c r="F37" s="12" t="str">
        <x:v>apply@conneticventures.com</x:v>
      </x:c>
      <x:c r="G37" s="10" t="str">
        <x:v>Published SEC business-office routing number</x:v>
      </x:c>
      <x:c r="H37" s="10" t="str">
        <x:v>firm_business_routing</x:v>
      </x:c>
      <x:c r="I37" s="10" t="str">
        <x:v>Published range overlaps $500K</x:v>
      </x:c>
      <x:c r="J37" s="11" t="n">
        <x:v>250000</x:v>
      </x:c>
      <x:c r="K37" s="11" t="n">
        <x:v>500000</x:v>
      </x:c>
      <x:c r="L37" s="10" t="str">
        <x:v>Covington, Kentucky / United States</x:v>
      </x:c>
      <x:c r="M37" s="10" t="str"/>
      <x:c r="N37" s="10" t="str">
        <x:v>Conditional research prospect</x:v>
      </x:c>
      <x:c r="O37" s="13" t="str">
        <x:v>new</x:v>
      </x:c>
      <x:c r="P37" s="13" t="str"/>
      <x:c r="Q37" s="10" t="str">
        <x:v>Not contacted / unconfirmed</x:v>
      </x:c>
      <x:c r="R37" s="10" t="str">
        <x:v>unverified</x:v>
      </x:c>
      <x:c r="S37" s="10" t="str">
        <x:v>2026-09-30</x:v>
      </x:c>
      <x:c r="T37" s="10" t="str">
        <x:v>https://www.conneticventures.com</x:v>
      </x:c>
      <x:c r="U37" s="10" t="str">
        <x:v>e42fa51cd2cb1a</x:v>
      </x:c>
    </x:row>
    <x:row r="38" ht="55" customHeight="1">
      <x:c r="A38" s="10" t="str">
        <x:v>62341bbd6c3830</x:v>
      </x:c>
      <x:c r="B38" s="10" t="str">
        <x:v>FCVC / FundersClub</x:v>
      </x:c>
      <x:c r="C38" s="10" t="str">
        <x:v>Alex Mittal</x:v>
      </x:c>
      <x:c r="D38" s="10" t="str">
        <x:v>Venture / proptech firm</x:v>
      </x:c>
      <x:c r="E38" s="12" t="str">
        <x:v>1 (888) 405-9335</x:v>
      </x:c>
      <x:c r="F38" s="12" t="str">
        <x:v>alex@fundersclub.com</x:v>
      </x:c>
      <x:c r="G38" s="10" t="str">
        <x:v>Published SEC business-office routing number</x:v>
      </x:c>
      <x:c r="H38" s="10" t="str">
        <x:v>named_investment_professional</x:v>
      </x:c>
      <x:c r="I38" s="10" t="str">
        <x:v>Published range overlaps $500K</x:v>
      </x:c>
      <x:c r="J38" s="11" t="n">
        <x:v>500000</x:v>
      </x:c>
      <x:c r="K38" s="11" t="n">
        <x:v>2000000</x:v>
      </x:c>
      <x:c r="L38" s="10" t="str">
        <x:v>San Francisco, California; United States and international</x:v>
      </x:c>
      <x:c r="M38" s="10" t="str">
        <x:v>Partner</x:v>
      </x:c>
      <x:c r="N38" s="10" t="str">
        <x:v>Conditional research prospect</x:v>
      </x:c>
      <x:c r="O38" s="13" t="str">
        <x:v>new</x:v>
      </x:c>
      <x:c r="P38" s="13" t="str"/>
      <x:c r="Q38" s="10" t="str">
        <x:v>Not contacted / unconfirmed</x:v>
      </x:c>
      <x:c r="R38" s="10" t="str">
        <x:v>unverified</x:v>
      </x:c>
      <x:c r="S38" s="10" t="str">
        <x:v>2026-09-30</x:v>
      </x:c>
      <x:c r="T38" s="10" t="str">
        <x:v>https://www.fcvc.com</x:v>
      </x:c>
      <x:c r="U38" s="10" t="str">
        <x:v>8439873e7a80e1</x:v>
      </x:c>
    </x:row>
    <x:row r="39" ht="40" customHeight="1">
      <x:c r="A39" s="10" t="str">
        <x:v>c4fcdbb2d863bf</x:v>
      </x:c>
      <x:c r="B39" s="10" t="str">
        <x:v>First Seed Ventures</x:v>
      </x:c>
      <x:c r="C39" s="10" t="str"/>
      <x:c r="D39" s="10" t="str">
        <x:v>Venture / proptech firm</x:v>
      </x:c>
      <x:c r="E39" s="12" t="str">
        <x:v>1 (650) 440-6605</x:v>
      </x:c>
      <x:c r="F39" s="12" t="str">
        <x:v>team@firstseedventures.com</x:v>
      </x:c>
      <x:c r="G39" s="10" t="str">
        <x:v>published_firm_mainline</x:v>
      </x:c>
      <x:c r="H39" s="10" t="str">
        <x:v>firm_business_routing</x:v>
      </x:c>
      <x:c r="I39" s="10" t="str">
        <x:v>Published range overlaps $500K</x:v>
      </x:c>
      <x:c r="J39" s="11" t="n">
        <x:v>75000</x:v>
      </x:c>
      <x:c r="K39" s="11" t="n">
        <x:v>500000</x:v>
      </x:c>
      <x:c r="L39" s="10" t="str">
        <x:v>Burlingame, California</x:v>
      </x:c>
      <x:c r="M39" s="10" t="str"/>
      <x:c r="N39" s="10" t="str">
        <x:v>Conditional research prospect</x:v>
      </x:c>
      <x:c r="O39" s="13" t="str">
        <x:v>new</x:v>
      </x:c>
      <x:c r="P39" s="13" t="str"/>
      <x:c r="Q39" s="10" t="str">
        <x:v>Not contacted / unconfirmed</x:v>
      </x:c>
      <x:c r="R39" s="10" t="str">
        <x:v>unverified</x:v>
      </x:c>
      <x:c r="S39" s="10" t="str">
        <x:v>2026-09-30</x:v>
      </x:c>
      <x:c r="T39" s="10" t="str">
        <x:v>https://www.firstseedventures.com</x:v>
      </x:c>
      <x:c r="U39" s="10" t="str">
        <x:v>c8d28861843a68</x:v>
      </x:c>
    </x:row>
    <x:row r="40" ht="55" customHeight="1">
      <x:c r="A40" s="10" t="str">
        <x:v>88c69c6596ff4e</x:v>
      </x:c>
      <x:c r="B40" s="10" t="str">
        <x:v>Liquid 2 Ventures</x:v>
      </x:c>
      <x:c r="C40" s="10" t="str"/>
      <x:c r="D40" s="10" t="str">
        <x:v>Venture / proptech firm</x:v>
      </x:c>
      <x:c r="E40" s="12" t="str">
        <x:v>1 (801) 695-5056</x:v>
      </x:c>
      <x:c r="F40" s="12" t="str">
        <x:v>info@liquid2.vc</x:v>
      </x:c>
      <x:c r="G40" s="10" t="str">
        <x:v>Published SEC business-office routing number</x:v>
      </x:c>
      <x:c r="H40" s="10" t="str">
        <x:v>firm_business_routing</x:v>
      </x:c>
      <x:c r="I40" s="10" t="str">
        <x:v>Published range overlaps $500K</x:v>
      </x:c>
      <x:c r="J40" s="11" t="n">
        <x:v>250000</x:v>
      </x:c>
      <x:c r="K40" s="11" t="n">
        <x:v>500000</x:v>
      </x:c>
      <x:c r="L40" s="10" t="str">
        <x:v>San Francisco, California; global investors</x:v>
      </x:c>
      <x:c r="M40" s="10" t="str"/>
      <x:c r="N40" s="10" t="str">
        <x:v>Conditional research prospect</x:v>
      </x:c>
      <x:c r="O40" s="13" t="str">
        <x:v>new</x:v>
      </x:c>
      <x:c r="P40" s="13" t="str"/>
      <x:c r="Q40" s="10" t="str">
        <x:v>Not contacted / unconfirmed</x:v>
      </x:c>
      <x:c r="R40" s="10" t="str">
        <x:v>unverified</x:v>
      </x:c>
      <x:c r="S40" s="10" t="str">
        <x:v>2026-09-30</x:v>
      </x:c>
      <x:c r="T40" s="10" t="str">
        <x:v>https://www.liquid2.vc</x:v>
      </x:c>
      <x:c r="U40" s="10" t="str">
        <x:v>28095cd7fffad2</x:v>
      </x:c>
    </x:row>
    <x:row r="41" ht="55" customHeight="1">
      <x:c r="A41" s="10" t="str">
        <x:v>53c140900f42c1</x:v>
      </x:c>
      <x:c r="B41" s="10" t="str">
        <x:v>Script Capital</x:v>
      </x:c>
      <x:c r="C41" s="10" t="str"/>
      <x:c r="D41" s="10" t="str">
        <x:v>Venture / proptech firm</x:v>
      </x:c>
      <x:c r="E41" s="12" t="str">
        <x:v>1 (415) 921-9807</x:v>
      </x:c>
      <x:c r="F41" s="12" t="str">
        <x:v>info@script.capital</x:v>
      </x:c>
      <x:c r="G41" s="10" t="str">
        <x:v>Published SEC business-office routing number</x:v>
      </x:c>
      <x:c r="H41" s="10" t="str">
        <x:v>firm_business_routing</x:v>
      </x:c>
      <x:c r="I41" s="10" t="str">
        <x:v>Published range overlaps $500K</x:v>
      </x:c>
      <x:c r="J41" s="11" t="n">
        <x:v>250000</x:v>
      </x:c>
      <x:c r="K41" s="11" t="n">
        <x:v>500000</x:v>
      </x:c>
      <x:c r="L41" s="10" t="str">
        <x:v>San Francisco, California</x:v>
      </x:c>
      <x:c r="M41" s="10" t="str"/>
      <x:c r="N41" s="10" t="str">
        <x:v>Conditional research prospect</x:v>
      </x:c>
      <x:c r="O41" s="13" t="str">
        <x:v>new</x:v>
      </x:c>
      <x:c r="P41" s="13" t="str"/>
      <x:c r="Q41" s="10" t="str">
        <x:v>Not contacted / unconfirmed</x:v>
      </x:c>
      <x:c r="R41" s="10" t="str">
        <x:v>unverified</x:v>
      </x:c>
      <x:c r="S41" s="10" t="str">
        <x:v>2026-09-30</x:v>
      </x:c>
      <x:c r="T41" s="10" t="str">
        <x:v>https://www.script.capital</x:v>
      </x:c>
      <x:c r="U41" s="10" t="str">
        <x:v>c2b9c1ed4bddcb</x:v>
      </x:c>
    </x:row>
    <x:row r="42" ht="55" customHeight="1">
      <x:c r="A42" s="10" t="str">
        <x:v>8e567827e12c9a</x:v>
      </x:c>
      <x:c r="B42" s="10" t="str">
        <x:v>Union Heritage Ventures</x:v>
      </x:c>
      <x:c r="C42" s="10" t="str"/>
      <x:c r="D42" s="10" t="str">
        <x:v>Venture / proptech firm</x:v>
      </x:c>
      <x:c r="E42" s="12" t="str">
        <x:v>1 (313) 300-0207</x:v>
      </x:c>
      <x:c r="F42" s="12" t="str">
        <x:v>inquiries@unionheritage.com</x:v>
      </x:c>
      <x:c r="G42" s="10" t="str">
        <x:v>Published SEC business-office routing number</x:v>
      </x:c>
      <x:c r="H42" s="10" t="str">
        <x:v>firm_business_routing</x:v>
      </x:c>
      <x:c r="I42" s="10" t="str">
        <x:v>Published range overlaps $500K</x:v>
      </x:c>
      <x:c r="J42" s="11" t="n">
        <x:v>100000</x:v>
      </x:c>
      <x:c r="K42" s="11" t="n">
        <x:v>1000000</x:v>
      </x:c>
      <x:c r="L42" s="10" t="str">
        <x:v>Michigan headquarters; U.S.-incorporated companies</x:v>
      </x:c>
      <x:c r="M42" s="10" t="str"/>
      <x:c r="N42" s="10" t="str">
        <x:v>Conditional research prospect</x:v>
      </x:c>
      <x:c r="O42" s="13" t="str">
        <x:v>new</x:v>
      </x:c>
      <x:c r="P42" s="13" t="str"/>
      <x:c r="Q42" s="10" t="str">
        <x:v>Not contacted / unconfirmed</x:v>
      </x:c>
      <x:c r="R42" s="10" t="str">
        <x:v>unverified</x:v>
      </x:c>
      <x:c r="S42" s="10" t="str">
        <x:v>2026-09-30</x:v>
      </x:c>
      <x:c r="T42" s="10" t="str">
        <x:v>https://unionheritage.com</x:v>
      </x:c>
      <x:c r="U42" s="10" t="str">
        <x:v>a3c68426f97f8a</x:v>
      </x:c>
    </x:row>
    <x:row r="43" ht="55" customHeight="1">
      <x:c r="A43" s="10" t="str">
        <x:v>7635735b2145a8</x:v>
      </x:c>
      <x:c r="B43" s="10" t="str">
        <x:v>Accelerating Angels</x:v>
      </x:c>
      <x:c r="C43" s="10" t="str"/>
      <x:c r="D43" s="10" t="str">
        <x:v>Angel group / syndication route</x:v>
      </x:c>
      <x:c r="E43" s="12" t="str">
        <x:v>1 (614) 414-2449</x:v>
      </x:c>
      <x:c r="F43" s="12" t="str">
        <x:v>admin@wsbaohio.org</x:v>
      </x:c>
      <x:c r="G43" s="10" t="str">
        <x:v>parent_institution_business_line</x:v>
      </x:c>
      <x:c r="H43" s="10" t="str">
        <x:v>parent_institution_general_business</x:v>
      </x:c>
      <x:c r="I43" s="10" t="str">
        <x:v>group_syndication_route_500k_amount_unverified</x:v>
      </x:c>
      <x:c r="J43" s="11"/>
      <x:c r="K43" s="11"/>
      <x:c r="L43" s="10" t="str">
        <x:v>Ohio ecosystem; mandate geography needs confirmation.</x:v>
      </x:c>
      <x:c r="M43" s="10" t="str"/>
      <x:c r="N43" s="10" t="str">
        <x:v>Conditional research prospect</x:v>
      </x:c>
      <x:c r="O43" s="13" t="str">
        <x:v>new</x:v>
      </x:c>
      <x:c r="P43" s="13" t="str"/>
      <x:c r="Q43" s="10" t="str">
        <x:v>Not contacted / unconfirmed</x:v>
      </x:c>
      <x:c r="R43" s="10" t="str">
        <x:v>unverified</x:v>
      </x:c>
      <x:c r="S43" s="10" t="str">
        <x:v>2026-09-30</x:v>
      </x:c>
      <x:c r="T43" s="10" t="str">
        <x:v>http://www.wsbaohio.org/</x:v>
      </x:c>
      <x:c r="U43" s="10" t="str">
        <x:v>24a0b678ff7746</x:v>
      </x:c>
    </x:row>
    <x:row r="44" ht="55" customHeight="1">
      <x:c r="A44" s="10" t="str">
        <x:v>64e638dc386aa8</x:v>
      </x:c>
      <x:c r="B44" s="10" t="str">
        <x:v>Central Texas Angel Network</x:v>
      </x:c>
      <x:c r="C44" s="10" t="str"/>
      <x:c r="D44" s="10" t="str">
        <x:v>Angel group / syndication route</x:v>
      </x:c>
      <x:c r="E44" s="12" t="str">
        <x:v>1 (512) 518-6054</x:v>
      </x:c>
      <x:c r="F44" s="12" t="str">
        <x:v>director@ctan.com</x:v>
      </x:c>
      <x:c r="G44" s="10" t="str">
        <x:v>published_business_line</x:v>
      </x:c>
      <x:c r="H44" s="10" t="str">
        <x:v>general_business</x:v>
      </x:c>
      <x:c r="I44" s="10" t="str">
        <x:v>published_collective_average_about_550k_not_individual_check</x:v>
      </x:c>
      <x:c r="J44" s="11"/>
      <x:c r="K44" s="11"/>
      <x:c r="L44" s="10" t="str">
        <x:v>Austin-based; US companies strongly preferred, Texas location not required.</x:v>
      </x:c>
      <x:c r="M44" s="10" t="str"/>
      <x:c r="N44" s="10" t="str">
        <x:v>Conditional research prospect</x:v>
      </x:c>
      <x:c r="O44" s="13" t="str">
        <x:v>new</x:v>
      </x:c>
      <x:c r="P44" s="13" t="str"/>
      <x:c r="Q44" s="10" t="str">
        <x:v>Not contacted / unconfirmed</x:v>
      </x:c>
      <x:c r="R44" s="10" t="str">
        <x:v>unverified</x:v>
      </x:c>
      <x:c r="S44" s="10" t="str">
        <x:v>2026-09-30</x:v>
      </x:c>
      <x:c r="T44" s="10" t="str">
        <x:v>https://www.ctan.com/</x:v>
      </x:c>
      <x:c r="U44" s="10" t="str">
        <x:v>cf01561bb8c0b9</x:v>
      </x:c>
    </x:row>
    <x:row r="45" ht="55" customHeight="1">
      <x:c r="A45" s="10" t="str">
        <x:v>1284164000d416</x:v>
      </x:c>
      <x:c r="B45" s="10" t="str">
        <x:v>Commonwealth Seed Capital</x:v>
      </x:c>
      <x:c r="C45" s="10" t="str"/>
      <x:c r="D45" s="10" t="str">
        <x:v>Angel group / syndication route</x:v>
      </x:c>
      <x:c r="E45" s="12" t="str">
        <x:v>1 (859) 479-1628</x:v>
      </x:c>
      <x:c r="F45" s="12" t="str">
        <x:v>president@commonwealthseed.com</x:v>
      </x:c>
      <x:c r="G45" s="10" t="str">
        <x:v>parent_institution_business_line</x:v>
      </x:c>
      <x:c r="H45" s="10" t="str">
        <x:v>published_business_role</x:v>
      </x:c>
      <x:c r="I45" s="10" t="str">
        <x:v>group_syndication_route_500k_amount_unverified</x:v>
      </x:c>
      <x:c r="J45" s="11"/>
      <x:c r="K45" s="11"/>
      <x:c r="L45" s="10" t="str">
        <x:v>Kentucky businesses.</x:v>
      </x:c>
      <x:c r="M45" s="10" t="str"/>
      <x:c r="N45" s="10" t="str">
        <x:v>Conditional research prospect</x:v>
      </x:c>
      <x:c r="O45" s="13" t="str">
        <x:v>new</x:v>
      </x:c>
      <x:c r="P45" s="13" t="str"/>
      <x:c r="Q45" s="10" t="str">
        <x:v>Not contacted / unconfirmed</x:v>
      </x:c>
      <x:c r="R45" s="10" t="str">
        <x:v>unverified</x:v>
      </x:c>
      <x:c r="S45" s="10" t="str">
        <x:v>2026-09-30</x:v>
      </x:c>
      <x:c r="T45" s="10" t="str">
        <x:v>https://www.kycsc.com/</x:v>
      </x:c>
      <x:c r="U45" s="10" t="str">
        <x:v>8b71c7212aa202</x:v>
      </x:c>
    </x:row>
    <x:row r="46" ht="70" customHeight="1">
      <x:c r="A46" s="10" t="str">
        <x:v>8db72b975cb4eb</x:v>
      </x:c>
      <x:c r="B46" s="10" t="str">
        <x:v>Dartmouth Angels</x:v>
      </x:c>
      <x:c r="C46" s="10" t="str"/>
      <x:c r="D46" s="10" t="str">
        <x:v>Angel group / syndication route</x:v>
      </x:c>
      <x:c r="E46" s="12" t="str">
        <x:v>1 (603) 646-8888</x:v>
      </x:c>
      <x:c r="F46" s="12" t="str">
        <x:v>magnuson@dartmouth.edu</x:v>
      </x:c>
      <x:c r="G46" s="10" t="str">
        <x:v>parent_institution_business_line</x:v>
      </x:c>
      <x:c r="H46" s="10" t="str">
        <x:v>parent_institution_general_business</x:v>
      </x:c>
      <x:c r="I46" s="10" t="str">
        <x:v>group_syndication_route_500k_amount_unverified</x:v>
      </x:c>
      <x:c r="J46" s="11"/>
      <x:c r="K46" s="11"/>
      <x:c r="L46" s="10" t="str">
        <x:v>ACA US regional listing: New England. Listing region does not itself establish a company-investment restriction.</x:v>
      </x:c>
      <x:c r="M46" s="10" t="str"/>
      <x:c r="N46" s="10" t="str">
        <x:v>Conditional research prospect</x:v>
      </x:c>
      <x:c r="O46" s="13" t="str">
        <x:v>new</x:v>
      </x:c>
      <x:c r="P46" s="13" t="str"/>
      <x:c r="Q46" s="10" t="str">
        <x:v>Not contacted / unconfirmed</x:v>
      </x:c>
      <x:c r="R46" s="10" t="str">
        <x:v>unverified</x:v>
      </x:c>
      <x:c r="S46" s="10" t="str">
        <x:v>2026-09-30</x:v>
      </x:c>
      <x:c r="T46" s="10" t="str">
        <x:v>https://magnuson.dartmouth.edu/angels/</x:v>
      </x:c>
      <x:c r="U46" s="10" t="str">
        <x:v>29cce5ba170a44</x:v>
      </x:c>
    </x:row>
    <x:row r="47" ht="55" customHeight="1">
      <x:c r="A47" s="10" t="str">
        <x:v>112e7be9bade99</x:v>
      </x:c>
      <x:c r="B47" s="10" t="str">
        <x:v>eCoast Angels</x:v>
      </x:c>
      <x:c r="C47" s="10" t="str"/>
      <x:c r="D47" s="10" t="str">
        <x:v>Angel group / syndication route</x:v>
      </x:c>
      <x:c r="E47" s="12" t="str">
        <x:v>1 (503) 313-1240</x:v>
      </x:c>
      <x:c r="F47" s="12" t="str">
        <x:v>info@ecoastangels.net</x:v>
      </x:c>
      <x:c r="G47" s="10" t="str">
        <x:v>published_business_line</x:v>
      </x:c>
      <x:c r="H47" s="10" t="str">
        <x:v>general_business</x:v>
      </x:c>
      <x:c r="I47" s="10" t="str">
        <x:v>Published group range includes $500K</x:v>
      </x:c>
      <x:c r="J47" s="11" t="n">
        <x:v>250000</x:v>
      </x:c>
      <x:c r="K47" s="11" t="n">
        <x:v>3000000</x:v>
      </x:c>
      <x:c r="L47" s="10" t="str">
        <x:v>ACA New England listing; confirm geography preference.</x:v>
      </x:c>
      <x:c r="M47" s="10" t="str"/>
      <x:c r="N47" s="10" t="str">
        <x:v>Conditional research prospect</x:v>
      </x:c>
      <x:c r="O47" s="13" t="str">
        <x:v>new</x:v>
      </x:c>
      <x:c r="P47" s="13" t="str"/>
      <x:c r="Q47" s="10" t="str">
        <x:v>Not contacted / unconfirmed</x:v>
      </x:c>
      <x:c r="R47" s="10" t="str">
        <x:v>unverified</x:v>
      </x:c>
      <x:c r="S47" s="10" t="str">
        <x:v>2026-09-30</x:v>
      </x:c>
      <x:c r="T47" s="10" t="str">
        <x:v>https://www.ecoastangels.net/</x:v>
      </x:c>
      <x:c r="U47" s="10" t="str">
        <x:v>ca2a981fb9c801</x:v>
      </x:c>
    </x:row>
    <x:row r="48" ht="70" customHeight="1">
      <x:c r="A48" s="10" t="str">
        <x:v>a012aaa7762a64</x:v>
      </x:c>
      <x:c r="B48" s="10" t="str">
        <x:v>Florida Angels</x:v>
      </x:c>
      <x:c r="C48" s="10" t="str"/>
      <x:c r="D48" s="10" t="str">
        <x:v>Angel group / syndication route</x:v>
      </x:c>
      <x:c r="E48" s="12" t="str">
        <x:v>1 (407) 307-2277</x:v>
      </x:c>
      <x:c r="F48" s="12" t="str">
        <x:v>info@floridaangels.club</x:v>
      </x:c>
      <x:c r="G48" s="10" t="str">
        <x:v>published_business_line</x:v>
      </x:c>
      <x:c r="H48" s="10" t="str">
        <x:v>general_business</x:v>
      </x:c>
      <x:c r="I48" s="10" t="str">
        <x:v>group_syndication_route_500k_amount_unverified</x:v>
      </x:c>
      <x:c r="J48" s="11"/>
      <x:c r="K48" s="11"/>
      <x:c r="L48" s="10" t="str">
        <x:v>ACA US regional listing: Southeast. Listing region does not itself establish a company-investment restriction.</x:v>
      </x:c>
      <x:c r="M48" s="10" t="str"/>
      <x:c r="N48" s="10" t="str">
        <x:v>Conditional research prospect</x:v>
      </x:c>
      <x:c r="O48" s="13" t="str">
        <x:v>new</x:v>
      </x:c>
      <x:c r="P48" s="13" t="str"/>
      <x:c r="Q48" s="10" t="str">
        <x:v>Not contacted / unconfirmed</x:v>
      </x:c>
      <x:c r="R48" s="10" t="str">
        <x:v>unverified</x:v>
      </x:c>
      <x:c r="S48" s="10" t="str">
        <x:v>2026-09-30</x:v>
      </x:c>
      <x:c r="T48" s="10" t="str">
        <x:v>http://floridaangels.club/</x:v>
      </x:c>
      <x:c r="U48" s="10" t="str">
        <x:v>b8c57d6ee42044</x:v>
      </x:c>
    </x:row>
    <x:row r="49" ht="55" customHeight="1">
      <x:c r="A49" s="10" t="str">
        <x:v>f1dde03e80a7af</x:v>
      </x:c>
      <x:c r="B49" s="10" t="str">
        <x:v>Flywheel Angel Network</x:v>
      </x:c>
      <x:c r="C49" s="10" t="str"/>
      <x:c r="D49" s="10" t="str">
        <x:v>Angel group / syndication route</x:v>
      </x:c>
      <x:c r="E49" s="12" t="str">
        <x:v>1 (509) 661-9000</x:v>
      </x:c>
      <x:c r="F49" s="12" t="str">
        <x:v>info@flywheelconference.com</x:v>
      </x:c>
      <x:c r="G49" s="10" t="str">
        <x:v>published_business_line</x:v>
      </x:c>
      <x:c r="H49" s="10" t="str">
        <x:v>general_business</x:v>
      </x:c>
      <x:c r="I49" s="10" t="str">
        <x:v>published_competition_award_150k_plus_500k_unconfirmed</x:v>
      </x:c>
      <x:c r="J49" s="11"/>
      <x:c r="K49" s="11"/>
      <x:c r="L49" s="10" t="str">
        <x:v>Washington-state presence required.</x:v>
      </x:c>
      <x:c r="M49" s="10" t="str"/>
      <x:c r="N49" s="10" t="str">
        <x:v>Conditional research prospect</x:v>
      </x:c>
      <x:c r="O49" s="13" t="str">
        <x:v>new</x:v>
      </x:c>
      <x:c r="P49" s="13" t="str"/>
      <x:c r="Q49" s="10" t="str">
        <x:v>Not contacted / unconfirmed</x:v>
      </x:c>
      <x:c r="R49" s="10" t="str">
        <x:v>unverified</x:v>
      </x:c>
      <x:c r="S49" s="10" t="str">
        <x:v>2026-09-30</x:v>
      </x:c>
      <x:c r="T49" s="10" t="str">
        <x:v>http://www.flywheelconference.com/</x:v>
      </x:c>
      <x:c r="U49" s="10" t="str">
        <x:v>08992828e4f34a</x:v>
      </x:c>
    </x:row>
    <x:row r="50" ht="55" customHeight="1">
      <x:c r="A50" s="10" t="str">
        <x:v>0befb1b5250b29</x:v>
      </x:c>
      <x:c r="B50" s="10" t="str">
        <x:v>Golden Seeds LLC</x:v>
      </x:c>
      <x:c r="C50" s="10" t="str"/>
      <x:c r="D50" s="10" t="str">
        <x:v>Angel group / syndication route</x:v>
      </x:c>
      <x:c r="E50" s="12" t="str">
        <x:v>1 (888) 629-6774</x:v>
      </x:c>
      <x:c r="F50" s="12" t="str">
        <x:v>info@goldenseeds.com</x:v>
      </x:c>
      <x:c r="G50" s="10" t="str">
        <x:v>published_business_line</x:v>
      </x:c>
      <x:c r="H50" s="10" t="str">
        <x:v>general_business</x:v>
      </x:c>
      <x:c r="I50" s="10" t="str">
        <x:v>group_syndication_route_500k_amount_unverified</x:v>
      </x:c>
      <x:c r="J50" s="11"/>
      <x:c r="K50" s="11"/>
      <x:c r="L50" s="10" t="str">
        <x:v>United States.</x:v>
      </x:c>
      <x:c r="M50" s="10" t="str"/>
      <x:c r="N50" s="10" t="str">
        <x:v>Conditional research prospect</x:v>
      </x:c>
      <x:c r="O50" s="13" t="str">
        <x:v>new</x:v>
      </x:c>
      <x:c r="P50" s="13" t="str"/>
      <x:c r="Q50" s="10" t="str">
        <x:v>Not contacted / unconfirmed</x:v>
      </x:c>
      <x:c r="R50" s="10" t="str">
        <x:v>unverified</x:v>
      </x:c>
      <x:c r="S50" s="10" t="str">
        <x:v>2026-09-30</x:v>
      </x:c>
      <x:c r="T50" s="10" t="str">
        <x:v>http://www.goldenseeds.com/</x:v>
      </x:c>
      <x:c r="U50" s="10" t="str">
        <x:v>b947db23e4302e</x:v>
      </x:c>
    </x:row>
    <x:row r="51" ht="70" customHeight="1">
      <x:c r="A51" s="10" t="str">
        <x:v>62ac53a3d730ed</x:v>
      </x:c>
      <x:c r="B51" s="10" t="str">
        <x:v>JumpStart New Jersey Angel Network</x:v>
      </x:c>
      <x:c r="C51" s="10" t="str"/>
      <x:c r="D51" s="10" t="str">
        <x:v>Angel group / syndication route</x:v>
      </x:c>
      <x:c r="E51" s="12" t="str">
        <x:v>1 (856) 813-1440</x:v>
      </x:c>
      <x:c r="F51" s="12" t="str">
        <x:v>swaters@jumpstartnj.org</x:v>
      </x:c>
      <x:c r="G51" s="10" t="str">
        <x:v>published_business_line</x:v>
      </x:c>
      <x:c r="H51" s="10" t="str">
        <x:v>published_business</x:v>
      </x:c>
      <x:c r="I51" s="10" t="str">
        <x:v>group_syndication_route_500k_amount_unverified</x:v>
      </x:c>
      <x:c r="J51" s="11"/>
      <x:c r="K51" s="11"/>
      <x:c r="L51" s="10" t="str">
        <x:v>ACA US regional listing: National. Listing region does not itself establish a company-investment restriction.</x:v>
      </x:c>
      <x:c r="M51" s="10" t="str"/>
      <x:c r="N51" s="10" t="str">
        <x:v>Conditional research prospect</x:v>
      </x:c>
      <x:c r="O51" s="13" t="str">
        <x:v>new</x:v>
      </x:c>
      <x:c r="P51" s="13" t="str"/>
      <x:c r="Q51" s="10" t="str">
        <x:v>Not contacted / unconfirmed</x:v>
      </x:c>
      <x:c r="R51" s="10" t="str">
        <x:v>unverified</x:v>
      </x:c>
      <x:c r="S51" s="10" t="str">
        <x:v>2026-09-30</x:v>
      </x:c>
      <x:c r="T51" s="10" t="str">
        <x:v>http://www.jumpstartnj.org/</x:v>
      </x:c>
      <x:c r="U51" s="10" t="str">
        <x:v>a67de97966e374</x:v>
      </x:c>
    </x:row>
    <x:row r="52" ht="55" customHeight="1">
      <x:c r="A52" s="10" t="str">
        <x:v>790cf014518b60</x:v>
      </x:c>
      <x:c r="B52" s="10" t="str">
        <x:v>Keiretsu Forum - MST</x:v>
      </x:c>
      <x:c r="C52" s="10" t="str"/>
      <x:c r="D52" s="10" t="str">
        <x:v>Angel group / syndication route</x:v>
      </x:c>
      <x:c r="E52" s="12" t="str">
        <x:v>1 (610) 971-4067</x:v>
      </x:c>
      <x:c r="F52" s="12" t="str">
        <x:v>info@keiretsuforum.net</x:v>
      </x:c>
      <x:c r="G52" s="10" t="str">
        <x:v>published_business_line</x:v>
      </x:c>
      <x:c r="H52" s="10" t="str">
        <x:v>general_business</x:v>
      </x:c>
      <x:c r="I52" s="10" t="str">
        <x:v>syndication_route_round_preference_above_500k_direct_check_unknown</x:v>
      </x:c>
      <x:c r="J52" s="11"/>
      <x:c r="K52" s="11"/>
      <x:c r="L52" s="10" t="str">
        <x:v>Mid-Atlantic, Southeast and Texas chapters with global reach.</x:v>
      </x:c>
      <x:c r="M52" s="10" t="str"/>
      <x:c r="N52" s="10" t="str">
        <x:v>Conditional research prospect</x:v>
      </x:c>
      <x:c r="O52" s="13" t="str">
        <x:v>new</x:v>
      </x:c>
      <x:c r="P52" s="13" t="str"/>
      <x:c r="Q52" s="10" t="str">
        <x:v>Not contacted / unconfirmed</x:v>
      </x:c>
      <x:c r="R52" s="10" t="str">
        <x:v>unverified</x:v>
      </x:c>
      <x:c r="S52" s="10" t="str">
        <x:v>2026-09-30</x:v>
      </x:c>
      <x:c r="T52" s="10" t="str">
        <x:v>http://www.keiretsuforum-midatlantic.com/</x:v>
      </x:c>
      <x:c r="U52" s="10" t="str">
        <x:v>57c709f0cca3d9</x:v>
      </x:c>
    </x:row>
    <x:row r="53" ht="55" customHeight="1">
      <x:c r="A53" s="10" t="str">
        <x:v>e1e34b4c0fe5ee</x:v>
      </x:c>
      <x:c r="B53" s="10" t="str">
        <x:v>Keiretsu Forum Northwest</x:v>
      </x:c>
      <x:c r="C53" s="10" t="str"/>
      <x:c r="D53" s="10" t="str">
        <x:v>Angel group / syndication route</x:v>
      </x:c>
      <x:c r="E53" s="12" t="str">
        <x:v>1 (206) 529-3687</x:v>
      </x:c>
      <x:c r="F53" s="12" t="str">
        <x:v>shaaf@keiretsuforum.com</x:v>
      </x:c>
      <x:c r="G53" s="10" t="str">
        <x:v>published_business_line</x:v>
      </x:c>
      <x:c r="H53" s="10" t="str">
        <x:v>published_business</x:v>
      </x:c>
      <x:c r="I53" s="10" t="str">
        <x:v>group_syndication_route_500k_amount_unverified</x:v>
      </x:c>
      <x:c r="J53" s="11"/>
      <x:c r="K53" s="11"/>
      <x:c r="L53" s="10" t="str">
        <x:v>Published Seattle, Washington office; Pacific Northwest and Rockies chapters.</x:v>
      </x:c>
      <x:c r="M53" s="10" t="str"/>
      <x:c r="N53" s="10" t="str">
        <x:v>Conditional research prospect</x:v>
      </x:c>
      <x:c r="O53" s="13" t="str">
        <x:v>new</x:v>
      </x:c>
      <x:c r="P53" s="13" t="str"/>
      <x:c r="Q53" s="10" t="str">
        <x:v>Not contacted / unconfirmed</x:v>
      </x:c>
      <x:c r="R53" s="10" t="str">
        <x:v>unverified</x:v>
      </x:c>
      <x:c r="S53" s="10" t="str">
        <x:v>2026-09-30</x:v>
      </x:c>
      <x:c r="T53" s="10" t="str">
        <x:v>http://k4northwest.com/</x:v>
      </x:c>
      <x:c r="U53" s="10" t="str">
        <x:v>1c62f8b3e4ac14</x:v>
      </x:c>
    </x:row>
    <x:row r="54" ht="70" customHeight="1">
      <x:c r="A54" s="10" t="str">
        <x:v>8b31bb840ccda3</x:v>
      </x:c>
      <x:c r="B54" s="10" t="str">
        <x:v>Kern Venture Group</x:v>
      </x:c>
      <x:c r="C54" s="10" t="str"/>
      <x:c r="D54" s="10" t="str">
        <x:v>Angel group / syndication route</x:v>
      </x:c>
      <x:c r="E54" s="12" t="str">
        <x:v>1 (661) 343-1840</x:v>
      </x:c>
      <x:c r="F54" s="12" t="str">
        <x:v>david@kernvg.com</x:v>
      </x:c>
      <x:c r="G54" s="10" t="str">
        <x:v>published_business_line</x:v>
      </x:c>
      <x:c r="H54" s="10" t="str">
        <x:v>published_business</x:v>
      </x:c>
      <x:c r="I54" s="10" t="str">
        <x:v>group_syndication_route_500k_amount_unverified</x:v>
      </x:c>
      <x:c r="J54" s="11"/>
      <x:c r="K54" s="11"/>
      <x:c r="L54" s="10" t="str">
        <x:v>ACA US regional listing: California. Listing region does not itself establish a company-investment restriction.</x:v>
      </x:c>
      <x:c r="M54" s="10" t="str"/>
      <x:c r="N54" s="10" t="str">
        <x:v>Conditional research prospect</x:v>
      </x:c>
      <x:c r="O54" s="13" t="str">
        <x:v>new</x:v>
      </x:c>
      <x:c r="P54" s="13" t="str"/>
      <x:c r="Q54" s="10" t="str">
        <x:v>Not contacted / unconfirmed</x:v>
      </x:c>
      <x:c r="R54" s="10" t="str">
        <x:v>unverified</x:v>
      </x:c>
      <x:c r="S54" s="10" t="str">
        <x:v>2026-09-30</x:v>
      </x:c>
      <x:c r="T54" s="10" t="str">
        <x:v>https://www.kernventuregroup.com/</x:v>
      </x:c>
      <x:c r="U54" s="10" t="str">
        <x:v>109b9b192ba8bb</x:v>
      </x:c>
    </x:row>
    <x:row r="55" ht="55" customHeight="1">
      <x:c r="A55" s="10" t="str">
        <x:v>522c982c5631de</x:v>
      </x:c>
      <x:c r="B55" s="10" t="str">
        <x:v>Landmark Angels Inc</x:v>
      </x:c>
      <x:c r="C55" s="10" t="str"/>
      <x:c r="D55" s="10" t="str">
        <x:v>Angel group / syndication route</x:v>
      </x:c>
      <x:c r="E55" s="12" t="str">
        <x:v>1 (203) 552-1445</x:v>
      </x:c>
      <x:c r="F55" s="12" t="str">
        <x:v>admin@landmarkangels.com</x:v>
      </x:c>
      <x:c r="G55" s="10" t="str">
        <x:v>published_business_line</x:v>
      </x:c>
      <x:c r="H55" s="10" t="str">
        <x:v>general_business</x:v>
      </x:c>
      <x:c r="I55" s="10" t="str">
        <x:v>published_250k_plus_lead_investor_route_500k_unconfirmed</x:v>
      </x:c>
      <x:c r="J55" s="11"/>
      <x:c r="K55" s="11"/>
      <x:c r="L55" s="10" t="str">
        <x:v>ACA New England listing; specific mandate geography requires confirmation.</x:v>
      </x:c>
      <x:c r="M55" s="10" t="str"/>
      <x:c r="N55" s="10" t="str">
        <x:v>Conditional research prospect</x:v>
      </x:c>
      <x:c r="O55" s="13" t="str">
        <x:v>new</x:v>
      </x:c>
      <x:c r="P55" s="13" t="str"/>
      <x:c r="Q55" s="10" t="str">
        <x:v>Not contacted / unconfirmed</x:v>
      </x:c>
      <x:c r="R55" s="10" t="str">
        <x:v>unverified</x:v>
      </x:c>
      <x:c r="S55" s="10" t="str">
        <x:v>2026-09-30</x:v>
      </x:c>
      <x:c r="T55" s="10" t="str">
        <x:v>http://www.landmarkangels.com/</x:v>
      </x:c>
      <x:c r="U55" s="10" t="str">
        <x:v>293f6d7cb3e51c</x:v>
      </x:c>
    </x:row>
    <x:row r="56" ht="55" customHeight="1">
      <x:c r="A56" s="10" t="str">
        <x:v>3433cd27a18052</x:v>
      </x:c>
      <x:c r="B56" s="10" t="str">
        <x:v>New World Angels Inc</x:v>
      </x:c>
      <x:c r="C56" s="10" t="str"/>
      <x:c r="D56" s="10" t="str">
        <x:v>Angel group / syndication route</x:v>
      </x:c>
      <x:c r="E56" s="12" t="str">
        <x:v>1 (561) 372-6309</x:v>
      </x:c>
      <x:c r="F56" s="12" t="str">
        <x:v>jessica@newworldangels.com</x:v>
      </x:c>
      <x:c r="G56" s="10" t="str">
        <x:v>published_business_line</x:v>
      </x:c>
      <x:c r="H56" s="10" t="str">
        <x:v>published_business</x:v>
      </x:c>
      <x:c r="I56" s="10" t="str">
        <x:v>Published group range includes $500K</x:v>
      </x:c>
      <x:c r="J56" s="11" t="n">
        <x:v>250000</x:v>
      </x:c>
      <x:c r="K56" s="11" t="n">
        <x:v>2000000</x:v>
      </x:c>
      <x:c r="L56" s="10" t="str">
        <x:v>Strong Florida presence and nexus priority.</x:v>
      </x:c>
      <x:c r="M56" s="10" t="str"/>
      <x:c r="N56" s="10" t="str">
        <x:v>Conditional research prospect</x:v>
      </x:c>
      <x:c r="O56" s="13" t="str">
        <x:v>new</x:v>
      </x:c>
      <x:c r="P56" s="13" t="str"/>
      <x:c r="Q56" s="10" t="str">
        <x:v>Not contacted / unconfirmed</x:v>
      </x:c>
      <x:c r="R56" s="10" t="str">
        <x:v>unverified</x:v>
      </x:c>
      <x:c r="S56" s="10" t="str">
        <x:v>2026-09-30</x:v>
      </x:c>
      <x:c r="T56" s="10" t="str">
        <x:v>http://www.newworldangels.com/</x:v>
      </x:c>
      <x:c r="U56" s="10" t="str">
        <x:v>ba34bf9d2b8a9d</x:v>
      </x:c>
    </x:row>
    <x:row r="57" ht="55" customHeight="1">
      <x:c r="A57" s="10" t="str">
        <x:v>7015d285a1726a</x:v>
      </x:c>
      <x:c r="B57" s="10" t="str">
        <x:v>NuFund Venture Group</x:v>
      </x:c>
      <x:c r="C57" s="10" t="str"/>
      <x:c r="D57" s="10" t="str">
        <x:v>Angel group / syndication route</x:v>
      </x:c>
      <x:c r="E57" s="12" t="str">
        <x:v>1 (858) 926-5070</x:v>
      </x:c>
      <x:c r="F57" s="12" t="str">
        <x:v>info@nufund.com</x:v>
      </x:c>
      <x:c r="G57" s="10" t="str">
        <x:v>published_business_line</x:v>
      </x:c>
      <x:c r="H57" s="10" t="str">
        <x:v>general_business</x:v>
      </x:c>
      <x:c r="I57" s="10" t="str">
        <x:v>Published group range includes $500K</x:v>
      </x:c>
      <x:c r="J57" s="11"/>
      <x:c r="K57" s="11" t="n">
        <x:v>1000000</x:v>
      </x:c>
      <x:c r="L57" s="10" t="str">
        <x:v>US-based companies; national network.</x:v>
      </x:c>
      <x:c r="M57" s="10" t="str"/>
      <x:c r="N57" s="10" t="str">
        <x:v>Conditional research prospect</x:v>
      </x:c>
      <x:c r="O57" s="13" t="str">
        <x:v>new</x:v>
      </x:c>
      <x:c r="P57" s="13" t="str"/>
      <x:c r="Q57" s="10" t="str">
        <x:v>Not contacted / unconfirmed</x:v>
      </x:c>
      <x:c r="R57" s="10" t="str">
        <x:v>unverified</x:v>
      </x:c>
      <x:c r="S57" s="10" t="str">
        <x:v>2026-09-30</x:v>
      </x:c>
      <x:c r="T57" s="10" t="str">
        <x:v>http://www.nufund.com/</x:v>
      </x:c>
      <x:c r="U57" s="10" t="str">
        <x:v>c8f50db4bea63c</x:v>
      </x:c>
    </x:row>
    <x:row r="58" ht="70" customHeight="1">
      <x:c r="A58" s="10" t="str">
        <x:v>bebc70a3d3d7bd</x:v>
      </x:c>
      <x:c r="B58" s="10" t="str">
        <x:v>Rio Grande Valley Angel Network</x:v>
      </x:c>
      <x:c r="C58" s="10" t="str"/>
      <x:c r="D58" s="10" t="str">
        <x:v>Angel group / syndication route</x:v>
      </x:c>
      <x:c r="E58" s="12" t="str">
        <x:v>1 (956) 357-0167</x:v>
      </x:c>
      <x:c r="F58" s="12" t="str">
        <x:v>laurie@rgvan.org</x:v>
      </x:c>
      <x:c r="G58" s="10" t="str">
        <x:v>published_business_line</x:v>
      </x:c>
      <x:c r="H58" s="10" t="str">
        <x:v>published_business</x:v>
      </x:c>
      <x:c r="I58" s="10" t="str">
        <x:v>group_syndication_route_500k_amount_unverified</x:v>
      </x:c>
      <x:c r="J58" s="11"/>
      <x:c r="K58" s="11"/>
      <x:c r="L58" s="10" t="str">
        <x:v>ACA US regional listing: Texas. Listing region does not itself establish a company-investment restriction.</x:v>
      </x:c>
      <x:c r="M58" s="10" t="str"/>
      <x:c r="N58" s="10" t="str">
        <x:v>Conditional research prospect</x:v>
      </x:c>
      <x:c r="O58" s="13" t="str">
        <x:v>new</x:v>
      </x:c>
      <x:c r="P58" s="13" t="str"/>
      <x:c r="Q58" s="10" t="str">
        <x:v>Not contacted / unconfirmed</x:v>
      </x:c>
      <x:c r="R58" s="10" t="str">
        <x:v>unverified</x:v>
      </x:c>
      <x:c r="S58" s="10" t="str">
        <x:v>2026-09-30</x:v>
      </x:c>
      <x:c r="T58" s="10" t="str">
        <x:v>http://www.rgvan.org/</x:v>
      </x:c>
      <x:c r="U58" s="10" t="str">
        <x:v>596ca47d217510</x:v>
      </x:c>
    </x:row>
    <x:row r="59" ht="70" customHeight="1">
      <x:c r="A59" s="10" t="str">
        <x:v>9114862869d8ab</x:v>
      </x:c>
      <x:c r="B59" s="10" t="str">
        <x:v>Robin Hood Ventures</x:v>
      </x:c>
      <x:c r="C59" s="10" t="str"/>
      <x:c r="D59" s="10" t="str">
        <x:v>Angel group / syndication route</x:v>
      </x:c>
      <x:c r="E59" s="12" t="str">
        <x:v>1 (215) 839-6256</x:v>
      </x:c>
      <x:c r="F59" s="12" t="str">
        <x:v>info@robinhoodventures.com</x:v>
      </x:c>
      <x:c r="G59" s="10" t="str">
        <x:v>published_business_line</x:v>
      </x:c>
      <x:c r="H59" s="10" t="str">
        <x:v>general_business</x:v>
      </x:c>
      <x:c r="I59" s="10" t="str">
        <x:v>group_syndication_route_500k_amount_unverified</x:v>
      </x:c>
      <x:c r="J59" s="11"/>
      <x:c r="K59" s="11"/>
      <x:c r="L59" s="10" t="str">
        <x:v>ACA US regional listing: Mid-Atlantic. Listing region does not itself establish a company-investment restriction.</x:v>
      </x:c>
      <x:c r="M59" s="10" t="str"/>
      <x:c r="N59" s="10" t="str">
        <x:v>Conditional research prospect</x:v>
      </x:c>
      <x:c r="O59" s="13" t="str">
        <x:v>new</x:v>
      </x:c>
      <x:c r="P59" s="13" t="str"/>
      <x:c r="Q59" s="10" t="str">
        <x:v>Not contacted / unconfirmed</x:v>
      </x:c>
      <x:c r="R59" s="10" t="str">
        <x:v>unverified</x:v>
      </x:c>
      <x:c r="S59" s="10" t="str">
        <x:v>2026-09-30</x:v>
      </x:c>
      <x:c r="T59" s="10" t="str">
        <x:v>http://www.robinhoodventures.com/</x:v>
      </x:c>
      <x:c r="U59" s="10" t="str">
        <x:v>43b93dceffc391</x:v>
      </x:c>
    </x:row>
    <x:row r="60" ht="55" customHeight="1">
      <x:c r="A60" s="10" t="str">
        <x:v>ea9c2589f2908c</x:v>
      </x:c>
      <x:c r="B60" s="10" t="str">
        <x:v>Tamiami Angel Fund V</x:v>
      </x:c>
      <x:c r="C60" s="10" t="str"/>
      <x:c r="D60" s="10" t="str">
        <x:v>Angel group / syndication route</x:v>
      </x:c>
      <x:c r="E60" s="12" t="str">
        <x:v>1 (239) 262-6335</x:v>
      </x:c>
      <x:c r="F60" s="12" t="str">
        <x:v>info@tamiamiangels.com</x:v>
      </x:c>
      <x:c r="G60" s="10" t="str">
        <x:v>published_business_line</x:v>
      </x:c>
      <x:c r="H60" s="10" t="str">
        <x:v>general_business</x:v>
      </x:c>
      <x:c r="I60" s="10" t="str">
        <x:v>Published group range includes $500K</x:v>
      </x:c>
      <x:c r="J60" s="11" t="n">
        <x:v>50000</x:v>
      </x:c>
      <x:c r="K60" s="11" t="n">
        <x:v>500000</x:v>
      </x:c>
      <x:c r="L60" s="10" t="str">
        <x:v>Florida angel fund; specific company-geography eligibility must be confirmed.</x:v>
      </x:c>
      <x:c r="M60" s="10" t="str"/>
      <x:c r="N60" s="10" t="str">
        <x:v>Conditional research prospect</x:v>
      </x:c>
      <x:c r="O60" s="13" t="str">
        <x:v>new</x:v>
      </x:c>
      <x:c r="P60" s="13" t="str"/>
      <x:c r="Q60" s="10" t="str">
        <x:v>Not contacted / unconfirmed</x:v>
      </x:c>
      <x:c r="R60" s="10" t="str">
        <x:v>unverified</x:v>
      </x:c>
      <x:c r="S60" s="10" t="str">
        <x:v>2026-09-30</x:v>
      </x:c>
      <x:c r="T60" s="10" t="str">
        <x:v>http://www.tamiamiangels.com/</x:v>
      </x:c>
      <x:c r="U60" s="10" t="str">
        <x:v>5f332e5bd5eb76</x:v>
      </x:c>
    </x:row>
    <x:row r="61" ht="55" customHeight="1">
      <x:c r="A61" s="10" t="str">
        <x:v>d1a1b83a3b30a5</x:v>
      </x:c>
      <x:c r="B61" s="10" t="str">
        <x:v>1984 Ventures</x:v>
      </x:c>
      <x:c r="C61" s="10" t="str"/>
      <x:c r="D61" s="10" t="str">
        <x:v>Corporate equity firm</x:v>
      </x:c>
      <x:c r="E61" s="12" t="str">
        <x:v>1 (408) 420-9220</x:v>
      </x:c>
      <x:c r="F61" s="12" t="str">
        <x:v>team@1984.vc</x:v>
      </x:c>
      <x:c r="G61" s="10" t="str">
        <x:v>Published SEC business-office routing number</x:v>
      </x:c>
      <x:c r="H61" s="10" t="str">
        <x:v>Published firm inbox</x:v>
      </x:c>
      <x:c r="I61" s="10" t="str">
        <x:v>Published maximum; minimum unconfirmed</x:v>
      </x:c>
      <x:c r="J61" s="11"/>
      <x:c r="K61" s="11" t="n">
        <x:v>1000000</x:v>
      </x:c>
      <x:c r="L61" s="10" t="str">
        <x:v>country: United States; city: NEW YORK; state: NY</x:v>
      </x:c>
      <x:c r="M61" s="10" t="str">
        <x:v>Published corporate routing contact</x:v>
      </x:c>
      <x:c r="N61" s="10" t="str">
        <x:v>Conditional research prospect</x:v>
      </x:c>
      <x:c r="O61" s="13" t="str">
        <x:v>new</x:v>
      </x:c>
      <x:c r="P61" s="13" t="str"/>
      <x:c r="Q61" s="10" t="str">
        <x:v>Not contacted / unconfirmed</x:v>
      </x:c>
      <x:c r="R61" s="10" t="str">
        <x:v>unverified</x:v>
      </x:c>
      <x:c r="S61" s="10" t="str">
        <x:v>2026-09-30</x:v>
      </x:c>
      <x:c r="T61" s="10" t="str">
        <x:v>https://1984.vc/</x:v>
      </x:c>
      <x:c r="U61" s="10" t="str">
        <x:v>417386906e60d7</x:v>
      </x:c>
    </x:row>
    <x:row r="62" ht="55" customHeight="1">
      <x:c r="A62" s="10" t="str">
        <x:v>cd7dad80b52e28</x:v>
      </x:c>
      <x:c r="B62" s="10" t="str">
        <x:v>Alpaca VC</x:v>
      </x:c>
      <x:c r="C62" s="10" t="str"/>
      <x:c r="D62" s="10" t="str">
        <x:v>Corporate equity firm</x:v>
      </x:c>
      <x:c r="E62" s="12" t="str">
        <x:v>1 (860) 501-0289</x:v>
      </x:c>
      <x:c r="F62" s="12" t="str">
        <x:v>hey@alpaca.vc</x:v>
      </x:c>
      <x:c r="G62" s="10" t="str">
        <x:v>Published SEC business-office routing number</x:v>
      </x:c>
      <x:c r="H62" s="10" t="str">
        <x:v>Published firm inbox</x:v>
      </x:c>
      <x:c r="I62" s="10" t="str">
        <x:v>Not published / unconfirmed</x:v>
      </x:c>
      <x:c r="J62" s="11"/>
      <x:c r="K62" s="11"/>
      <x:c r="L62" s="10" t="str">
        <x:v>country: United States; city: NEW YORK; state: NY</x:v>
      </x:c>
      <x:c r="M62" s="10" t="str">
        <x:v>Published corporate routing contact</x:v>
      </x:c>
      <x:c r="N62" s="10" t="str">
        <x:v>Conditional research prospect</x:v>
      </x:c>
      <x:c r="O62" s="13" t="str">
        <x:v>new</x:v>
      </x:c>
      <x:c r="P62" s="13" t="str"/>
      <x:c r="Q62" s="10" t="str">
        <x:v>Not contacted / unconfirmed</x:v>
      </x:c>
      <x:c r="R62" s="10" t="str">
        <x:v>unverified</x:v>
      </x:c>
      <x:c r="S62" s="10" t="str">
        <x:v>2026-09-30</x:v>
      </x:c>
      <x:c r="T62" s="10" t="str">
        <x:v>https://alpaca.vc/</x:v>
      </x:c>
      <x:c r="U62" s="10" t="str">
        <x:v>50c6aaecbc6654</x:v>
      </x:c>
    </x:row>
    <x:row r="63" ht="55" customHeight="1">
      <x:c r="A63" s="10" t="str">
        <x:v>db9b96fde2de50</x:v>
      </x:c>
      <x:c r="B63" s="10" t="str">
        <x:v>Grotech Ventures</x:v>
      </x:c>
      <x:c r="C63" s="10" t="str"/>
      <x:c r="D63" s="10" t="str">
        <x:v>Corporate equity firm</x:v>
      </x:c>
      <x:c r="E63" s="12" t="str">
        <x:v>1 (703) 637-9555</x:v>
      </x:c>
      <x:c r="F63" s="12" t="str">
        <x:v>info@grotech.com</x:v>
      </x:c>
      <x:c r="G63" s="10" t="str">
        <x:v>Published business line; directness unconfirmed</x:v>
      </x:c>
      <x:c r="H63" s="10" t="str">
        <x:v>Published firm inbox</x:v>
      </x:c>
      <x:c r="I63" s="10" t="str">
        <x:v>Not published / unconfirmed</x:v>
      </x:c>
      <x:c r="J63" s="11"/>
      <x:c r="K63" s="11"/>
      <x:c r="L63" s="10" t="str">
        <x:v>country: United States; city: OWINGS MILLS; state: MD</x:v>
      </x:c>
      <x:c r="M63" s="10" t="str">
        <x:v>Published corporate routing contact</x:v>
      </x:c>
      <x:c r="N63" s="10" t="str">
        <x:v>Conditional research prospect</x:v>
      </x:c>
      <x:c r="O63" s="13" t="str">
        <x:v>new</x:v>
      </x:c>
      <x:c r="P63" s="13" t="str"/>
      <x:c r="Q63" s="10" t="str">
        <x:v>Not contacted / unconfirmed</x:v>
      </x:c>
      <x:c r="R63" s="10" t="str">
        <x:v>unverified</x:v>
      </x:c>
      <x:c r="S63" s="10" t="str">
        <x:v>2026-09-30</x:v>
      </x:c>
      <x:c r="T63" s="10" t="str">
        <x:v>https://www.grotech.com/</x:v>
      </x:c>
      <x:c r="U63" s="10" t="str">
        <x:v>ab359792a1afab</x:v>
      </x:c>
    </x:row>
    <x:row r="64" ht="55" customHeight="1">
      <x:c r="A64" s="10" t="str">
        <x:v>53cf2d932be590</x:v>
      </x:c>
      <x:c r="B64" s="10" t="str">
        <x:v>ICA Fund</x:v>
      </x:c>
      <x:c r="C64" s="10" t="str"/>
      <x:c r="D64" s="10" t="str">
        <x:v>Corporate equity firm</x:v>
      </x:c>
      <x:c r="E64" s="12" t="str">
        <x:v>1 (510) 271-0142</x:v>
      </x:c>
      <x:c r="F64" s="12" t="str">
        <x:v>info@ica.fund</x:v>
      </x:c>
      <x:c r="G64" s="10" t="str">
        <x:v>Published business line; directness unconfirmed</x:v>
      </x:c>
      <x:c r="H64" s="10" t="str">
        <x:v>Published firm inbox</x:v>
      </x:c>
      <x:c r="I64" s="10" t="str">
        <x:v>Not published / unconfirmed</x:v>
      </x:c>
      <x:c r="J64" s="11"/>
      <x:c r="K64" s="11"/>
      <x:c r="L64" s="10" t="str">
        <x:v>country: US business context requires source-specific verification; city: ; state: </x:v>
      </x:c>
      <x:c r="M64" s="10" t="str">
        <x:v>Published corporate routing contact</x:v>
      </x:c>
      <x:c r="N64" s="10" t="str">
        <x:v>Conditional research prospect</x:v>
      </x:c>
      <x:c r="O64" s="13" t="str">
        <x:v>new</x:v>
      </x:c>
      <x:c r="P64" s="13" t="str"/>
      <x:c r="Q64" s="10" t="str">
        <x:v>Not contacted / unconfirmed</x:v>
      </x:c>
      <x:c r="R64" s="10" t="str">
        <x:v>unverified</x:v>
      </x:c>
      <x:c r="S64" s="10" t="str">
        <x:v>2026-09-30</x:v>
      </x:c>
      <x:c r="T64" s="10" t="str">
        <x:v>https://www.ica.fund/</x:v>
      </x:c>
      <x:c r="U64" s="10" t="str">
        <x:v>9de05fe963a760</x:v>
      </x:c>
    </x:row>
    <x:row r="65" ht="55" customHeight="1">
      <x:c r="A65" s="10" t="str">
        <x:v>7797918de29b68</x:v>
      </x:c>
      <x:c r="B65" s="10" t="str">
        <x:v>MetaProp</x:v>
      </x:c>
      <x:c r="C65" s="10" t="str"/>
      <x:c r="D65" s="10" t="str">
        <x:v>Corporate equity firm</x:v>
      </x:c>
      <x:c r="E65" s="12" t="str">
        <x:v>1 (646) 504-4482</x:v>
      </x:c>
      <x:c r="F65" s="12" t="str">
        <x:v>info@metaprop.com</x:v>
      </x:c>
      <x:c r="G65" s="10" t="str">
        <x:v>Published SEC business-office routing number</x:v>
      </x:c>
      <x:c r="H65" s="10" t="str">
        <x:v>Published firm inbox</x:v>
      </x:c>
      <x:c r="I65" s="10" t="str">
        <x:v>Not published / unconfirmed</x:v>
      </x:c>
      <x:c r="J65" s="11"/>
      <x:c r="K65" s="11"/>
      <x:c r="L65" s="10" t="str">
        <x:v>country: United States; city: NEW YORK; state: NY</x:v>
      </x:c>
      <x:c r="M65" s="10" t="str">
        <x:v>Published corporate routing contact</x:v>
      </x:c>
      <x:c r="N65" s="10" t="str">
        <x:v>Conditional research prospect</x:v>
      </x:c>
      <x:c r="O65" s="13" t="str">
        <x:v>new</x:v>
      </x:c>
      <x:c r="P65" s="13" t="str"/>
      <x:c r="Q65" s="10" t="str">
        <x:v>Not contacted / unconfirmed</x:v>
      </x:c>
      <x:c r="R65" s="10" t="str">
        <x:v>unverified</x:v>
      </x:c>
      <x:c r="S65" s="10" t="str">
        <x:v>2026-09-30</x:v>
      </x:c>
      <x:c r="T65" s="10" t="str">
        <x:v>https://www.metaprop.com/</x:v>
      </x:c>
      <x:c r="U65" s="10" t="str">
        <x:v>4fcea284505ad6</x:v>
      </x:c>
    </x:row>
    <x:row r="66" ht="55" customHeight="1">
      <x:c r="A66" s="10" t="str">
        <x:v>78c8e1e3f2292f</x:v>
      </x:c>
      <x:c r="B66" s="10" t="str">
        <x:v>MEZAS Capital Group</x:v>
      </x:c>
      <x:c r="C66" s="10" t="str"/>
      <x:c r="D66" s="10" t="str">
        <x:v>Corporate equity firm</x:v>
      </x:c>
      <x:c r="E66" s="12" t="str">
        <x:v>1 (972) 750-2227</x:v>
      </x:c>
      <x:c r="F66" s="12" t="str">
        <x:v>info@mezascg.com</x:v>
      </x:c>
      <x:c r="G66" s="10" t="str">
        <x:v>Published business line; directness unconfirmed</x:v>
      </x:c>
      <x:c r="H66" s="10" t="str">
        <x:v>Published firm inbox</x:v>
      </x:c>
      <x:c r="I66" s="10" t="str">
        <x:v>Not published / unconfirmed</x:v>
      </x:c>
      <x:c r="J66" s="11"/>
      <x:c r="K66" s="11"/>
      <x:c r="L66" s="10" t="str">
        <x:v>country: US business context requires source-specific verification; city: ; state: </x:v>
      </x:c>
      <x:c r="M66" s="10" t="str">
        <x:v>Published corporate routing contact</x:v>
      </x:c>
      <x:c r="N66" s="10" t="str">
        <x:v>Conditional research prospect</x:v>
      </x:c>
      <x:c r="O66" s="13" t="str">
        <x:v>new</x:v>
      </x:c>
      <x:c r="P66" s="13" t="str"/>
      <x:c r="Q66" s="10" t="str">
        <x:v>Not contacted / unconfirmed</x:v>
      </x:c>
      <x:c r="R66" s="10" t="str">
        <x:v>unverified</x:v>
      </x:c>
      <x:c r="S66" s="10" t="str">
        <x:v>2026-09-30</x:v>
      </x:c>
      <x:c r="T66" s="10" t="str">
        <x:v>https://www.mezascg.com/</x:v>
      </x:c>
      <x:c r="U66" s="10" t="str">
        <x:v>661f83a53f3090</x:v>
      </x:c>
    </x:row>
    <x:row r="67" ht="55" customHeight="1">
      <x:c r="A67" s="10" t="str">
        <x:v>868b5d8d9eae5b</x:v>
      </x:c>
      <x:c r="B67" s="10" t="str">
        <x:v>Moderne Ventures</x:v>
      </x:c>
      <x:c r="C67" s="10" t="str"/>
      <x:c r="D67" s="10" t="str">
        <x:v>Corporate equity firm</x:v>
      </x:c>
      <x:c r="E67" s="12" t="str">
        <x:v>1 (617) 308-3191</x:v>
      </x:c>
      <x:c r="F67" s="12" t="str">
        <x:v>deals@moderneventures.com</x:v>
      </x:c>
      <x:c r="G67" s="10" t="str">
        <x:v>Published SEC business-office routing number</x:v>
      </x:c>
      <x:c r="H67" s="10" t="str">
        <x:v>Published firm inbox</x:v>
      </x:c>
      <x:c r="I67" s="10" t="str">
        <x:v>Not published / unconfirmed</x:v>
      </x:c>
      <x:c r="J67" s="11"/>
      <x:c r="K67" s="11"/>
      <x:c r="L67" s="10" t="str">
        <x:v>country: United States; city: CHICAGO; state: IL</x:v>
      </x:c>
      <x:c r="M67" s="10" t="str">
        <x:v>Published corporate routing contact</x:v>
      </x:c>
      <x:c r="N67" s="10" t="str">
        <x:v>Conditional research prospect</x:v>
      </x:c>
      <x:c r="O67" s="13" t="str">
        <x:v>new</x:v>
      </x:c>
      <x:c r="P67" s="13" t="str"/>
      <x:c r="Q67" s="10" t="str">
        <x:v>Not contacted / unconfirmed</x:v>
      </x:c>
      <x:c r="R67" s="10" t="str">
        <x:v>unverified</x:v>
      </x:c>
      <x:c r="S67" s="10" t="str">
        <x:v>2026-09-30</x:v>
      </x:c>
      <x:c r="T67" s="10" t="str">
        <x:v>https://www.moderneventures.com/</x:v>
      </x:c>
      <x:c r="U67" s="10" t="str">
        <x:v>eae6e5b82e04c6</x:v>
      </x:c>
    </x:row>
    <x:row r="68" ht="55" customHeight="1">
      <x:c r="A68" s="10" t="str">
        <x:v>85f74b955ce492</x:v>
      </x:c>
      <x:c r="B68" s="10" t="str">
        <x:v>Traction Capital</x:v>
      </x:c>
      <x:c r="C68" s="10" t="str"/>
      <x:c r="D68" s="10" t="str">
        <x:v>Corporate equity firm</x:v>
      </x:c>
      <x:c r="E68" s="12" t="str">
        <x:v>1 (612) 865-4624</x:v>
      </x:c>
      <x:c r="F68" s="12" t="str">
        <x:v>info@tractioncapital.com</x:v>
      </x:c>
      <x:c r="G68" s="10" t="str">
        <x:v>Published SEC business-office routing number</x:v>
      </x:c>
      <x:c r="H68" s="10" t="str">
        <x:v>Published firm inbox</x:v>
      </x:c>
      <x:c r="I68" s="10" t="str">
        <x:v>Not published / unconfirmed</x:v>
      </x:c>
      <x:c r="J68" s="11"/>
      <x:c r="K68" s="11"/>
      <x:c r="L68" s="10" t="str">
        <x:v>country: United States; city: WAYATA; state: MN</x:v>
      </x:c>
      <x:c r="M68" s="10" t="str">
        <x:v>Published corporate routing contact</x:v>
      </x:c>
      <x:c r="N68" s="10" t="str">
        <x:v>Conditional research prospect</x:v>
      </x:c>
      <x:c r="O68" s="13" t="str">
        <x:v>new</x:v>
      </x:c>
      <x:c r="P68" s="13" t="str"/>
      <x:c r="Q68" s="10" t="str">
        <x:v>Not contacted / unconfirmed</x:v>
      </x:c>
      <x:c r="R68" s="10" t="str">
        <x:v>unverified</x:v>
      </x:c>
      <x:c r="S68" s="10" t="str">
        <x:v>2026-09-30</x:v>
      </x:c>
      <x:c r="T68" s="10" t="str">
        <x:v>https://tractioncapital.com/</x:v>
      </x:c>
      <x:c r="U68" s="10" t="str">
        <x:v>820a06ec57e36d</x:v>
      </x:c>
    </x:row>
    <x:row r="69" ht="55" customHeight="1">
      <x:c r="A69" s="10" t="str">
        <x:v>28bba8ed5ad76e</x:v>
      </x:c>
      <x:c r="B69" s="10" t="str">
        <x:v>Zahren Capital</x:v>
      </x:c>
      <x:c r="C69" s="10" t="str"/>
      <x:c r="D69" s="10" t="str">
        <x:v>Corporate equity firm</x:v>
      </x:c>
      <x:c r="E69" s="12" t="str">
        <x:v>1 (212) 763-8788</x:v>
      </x:c>
      <x:c r="F69" s="12" t="str">
        <x:v>info@zahrencapital.com</x:v>
      </x:c>
      <x:c r="G69" s="10" t="str">
        <x:v>Published business line; directness unconfirmed</x:v>
      </x:c>
      <x:c r="H69" s="10" t="str">
        <x:v>Published firm inbox</x:v>
      </x:c>
      <x:c r="I69" s="10" t="str">
        <x:v>Not published / unconfirmed</x:v>
      </x:c>
      <x:c r="J69" s="11"/>
      <x:c r="K69" s="11"/>
      <x:c r="L69" s="10" t="str">
        <x:v>country: US business context requires source-specific verification; city: ; state: </x:v>
      </x:c>
      <x:c r="M69" s="10" t="str">
        <x:v>Published corporate routing contact</x:v>
      </x:c>
      <x:c r="N69" s="10" t="str">
        <x:v>Conditional research prospect</x:v>
      </x:c>
      <x:c r="O69" s="13" t="str">
        <x:v>new</x:v>
      </x:c>
      <x:c r="P69" s="13" t="str"/>
      <x:c r="Q69" s="10" t="str">
        <x:v>Not contacted / unconfirmed</x:v>
      </x:c>
      <x:c r="R69" s="10" t="str">
        <x:v>unverified</x:v>
      </x:c>
      <x:c r="S69" s="10" t="str">
        <x:v>2026-09-30</x:v>
      </x:c>
      <x:c r="T69" s="10" t="str">
        <x:v>https://zahrencapital.com/</x:v>
      </x:c>
      <x:c r="U69" s="10" t="str">
        <x:v>66a606b4ce75e1</x:v>
      </x:c>
    </x:row>
    <x:row r="70" ht="70" customHeight="1">
      <x:c r="A70" s="10" t="str">
        <x:v>ef9d7e54aea4e0</x:v>
      </x:c>
      <x:c r="B70" s="10" t="str">
        <x:v>Belgravia Management</x:v>
      </x:c>
      <x:c r="C70" s="10" t="str"/>
      <x:c r="D70" s="10" t="str">
        <x:v>Family investment firm</x:v>
      </x:c>
      <x:c r="E70" s="12" t="str">
        <x:v>1 (267) 338-4994</x:v>
      </x:c>
      <x:c r="F70" s="12" t="str">
        <x:v>info@belgravialp.com</x:v>
      </x:c>
      <x:c r="G70" s="10" t="str">
        <x:v>professional_business_contact_as_published</x:v>
      </x:c>
      <x:c r="H70" s="10" t="str">
        <x:v>Published firm inbox</x:v>
      </x:c>
      <x:c r="I70" s="10" t="str">
        <x:v>not_published_unverified</x:v>
      </x:c>
      <x:c r="J70" s="11"/>
      <x:c r="K70" s="11"/>
      <x:c r="L70" s="10" t="str">
        <x:v>Philadelphia, Pennsylvania; Northeast and Southeast US preference for real estate while operating investments are flexible.</x:v>
      </x:c>
      <x:c r="M70" s="10" t="str"/>
      <x:c r="N70" s="10" t="str">
        <x:v>Conditional research prospect</x:v>
      </x:c>
      <x:c r="O70" s="13" t="str">
        <x:v>new</x:v>
      </x:c>
      <x:c r="P70" s="13" t="str"/>
      <x:c r="Q70" s="10" t="str">
        <x:v>Not contacted / unconfirmed</x:v>
      </x:c>
      <x:c r="R70" s="10" t="str">
        <x:v>unverified</x:v>
      </x:c>
      <x:c r="S70" s="10" t="str">
        <x:v>2026-09-30</x:v>
      </x:c>
      <x:c r="T70" s="10" t="str">
        <x:v>https://www.belgravia-management.com/</x:v>
      </x:c>
      <x:c r="U70" s="10" t="str">
        <x:v>f02d009210c08f</x:v>
      </x:c>
    </x:row>
    <x:row r="71" ht="55" customHeight="1">
      <x:c r="A71" s="10" t="str">
        <x:v>1dfba6d9c0144f</x:v>
      </x:c>
      <x:c r="B71" s="10" t="str">
        <x:v>Broadpeak Investment Group</x:v>
      </x:c>
      <x:c r="C71" s="10" t="str"/>
      <x:c r="D71" s="10" t="str">
        <x:v>Family investment firm</x:v>
      </x:c>
      <x:c r="E71" s="12" t="str">
        <x:v>1 (678) 992-2230</x:v>
      </x:c>
      <x:c r="F71" s="12" t="str">
        <x:v>info@broadpeak.com</x:v>
      </x:c>
      <x:c r="G71" s="10" t="str">
        <x:v>professional_business_contact_as_published</x:v>
      </x:c>
      <x:c r="H71" s="10" t="str">
        <x:v>Published firm inbox</x:v>
      </x:c>
      <x:c r="I71" s="10" t="str">
        <x:v>not_published_unverified</x:v>
      </x:c>
      <x:c r="J71" s="11"/>
      <x:c r="K71" s="11"/>
      <x:c r="L71" s="10" t="str">
        <x:v>Atlanta, Georgia headquarters; global mandate and planned Dubai office.</x:v>
      </x:c>
      <x:c r="M71" s="10" t="str"/>
      <x:c r="N71" s="10" t="str">
        <x:v>Conditional research prospect</x:v>
      </x:c>
      <x:c r="O71" s="13" t="str">
        <x:v>new</x:v>
      </x:c>
      <x:c r="P71" s="13" t="str"/>
      <x:c r="Q71" s="10" t="str">
        <x:v>Not contacted / unconfirmed</x:v>
      </x:c>
      <x:c r="R71" s="10" t="str">
        <x:v>unverified</x:v>
      </x:c>
      <x:c r="S71" s="10" t="str">
        <x:v>2026-09-30</x:v>
      </x:c>
      <x:c r="T71" s="10" t="str">
        <x:v>https://broadpeak.com/</x:v>
      </x:c>
      <x:c r="U71" s="10" t="str">
        <x:v>dff7971556d4ba</x:v>
      </x:c>
    </x:row>
    <x:row r="72" ht="55" customHeight="1">
      <x:c r="A72" s="10" t="str">
        <x:v>a2a15349e8d22b</x:v>
      </x:c>
      <x:c r="B72" s="10" t="str">
        <x:v>Chatfield Legacy Investments</x:v>
      </x:c>
      <x:c r="C72" s="10" t="str"/>
      <x:c r="D72" s="10" t="str">
        <x:v>Family investment firm</x:v>
      </x:c>
      <x:c r="E72" s="12" t="str">
        <x:v>1 (702) 871-8535</x:v>
      </x:c>
      <x:c r="F72" s="12" t="str">
        <x:v>mike@chatfieldli.com</x:v>
      </x:c>
      <x:c r="G72" s="10" t="str">
        <x:v>professional_business_contact_as_published</x:v>
      </x:c>
      <x:c r="H72" s="10" t="str">
        <x:v>Published firm inbox</x:v>
      </x:c>
      <x:c r="I72" s="10" t="str">
        <x:v>not_published_unverified</x:v>
      </x:c>
      <x:c r="J72" s="11"/>
      <x:c r="K72" s="11"/>
      <x:c r="L72" s="10" t="str">
        <x:v>Las Vegas, Nevada business address.</x:v>
      </x:c>
      <x:c r="M72" s="10" t="str"/>
      <x:c r="N72" s="10" t="str">
        <x:v>Conditional research prospect</x:v>
      </x:c>
      <x:c r="O72" s="13" t="str">
        <x:v>new</x:v>
      </x:c>
      <x:c r="P72" s="13" t="str"/>
      <x:c r="Q72" s="10" t="str">
        <x:v>Not contacted / unconfirmed</x:v>
      </x:c>
      <x:c r="R72" s="10" t="str">
        <x:v>unverified</x:v>
      </x:c>
      <x:c r="S72" s="10" t="str">
        <x:v>2026-09-30</x:v>
      </x:c>
      <x:c r="T72" s="10" t="str">
        <x:v>https://chatfieldli.com/</x:v>
      </x:c>
      <x:c r="U72" s="10" t="str">
        <x:v>8e678d5cdc2df7</x:v>
      </x:c>
    </x:row>
    <x:row r="73" ht="55" customHeight="1">
      <x:c r="A73" s="10" t="str">
        <x:v>8c73941a73dba4</x:v>
      </x:c>
      <x:c r="B73" s="10" t="str">
        <x:v>Comer Companies</x:v>
      </x:c>
      <x:c r="C73" s="10" t="str"/>
      <x:c r="D73" s="10" t="str">
        <x:v>Family investment firm</x:v>
      </x:c>
      <x:c r="E73" s="12" t="str">
        <x:v>1 (205) 968-1246</x:v>
      </x:c>
      <x:c r="F73" s="12" t="str">
        <x:v>info@comercompanies.com</x:v>
      </x:c>
      <x:c r="G73" s="10" t="str">
        <x:v>professional_business_contact_as_published</x:v>
      </x:c>
      <x:c r="H73" s="10" t="str">
        <x:v>Published firm inbox</x:v>
      </x:c>
      <x:c r="I73" s="10" t="str">
        <x:v>not_published_unverified</x:v>
      </x:c>
      <x:c r="J73" s="11"/>
      <x:c r="K73" s="11"/>
      <x:c r="L73" s="10" t="str">
        <x:v>Birmingham, Alabama office.</x:v>
      </x:c>
      <x:c r="M73" s="10" t="str"/>
      <x:c r="N73" s="10" t="str">
        <x:v>Conditional research prospect</x:v>
      </x:c>
      <x:c r="O73" s="13" t="str">
        <x:v>new</x:v>
      </x:c>
      <x:c r="P73" s="13" t="str"/>
      <x:c r="Q73" s="10" t="str">
        <x:v>Not contacted / unconfirmed</x:v>
      </x:c>
      <x:c r="R73" s="10" t="str">
        <x:v>unverified</x:v>
      </x:c>
      <x:c r="S73" s="10" t="str">
        <x:v>2026-09-30</x:v>
      </x:c>
      <x:c r="T73" s="10" t="str">
        <x:v>https://www.comercompanies.com/</x:v>
      </x:c>
      <x:c r="U73" s="10" t="str">
        <x:v>a060b38cacb0be</x:v>
      </x:c>
    </x:row>
    <x:row r="74" ht="55" customHeight="1">
      <x:c r="A74" s="10" t="str">
        <x:v>1dd7c72dbc6702</x:v>
      </x:c>
      <x:c r="B74" s="10" t="str">
        <x:v>GEA Capital</x:v>
      </x:c>
      <x:c r="C74" s="10" t="str"/>
      <x:c r="D74" s="10" t="str">
        <x:v>Family investment firm</x:v>
      </x:c>
      <x:c r="E74" s="12" t="str">
        <x:v>1 (678) 345-1411</x:v>
      </x:c>
      <x:c r="F74" s="12" t="str">
        <x:v>info@geacapitalco.com</x:v>
      </x:c>
      <x:c r="G74" s="10" t="str">
        <x:v>professional_business_contact_as_published</x:v>
      </x:c>
      <x:c r="H74" s="10" t="str">
        <x:v>Published firm inbox</x:v>
      </x:c>
      <x:c r="I74" s="10" t="str">
        <x:v>not_published_unverified</x:v>
      </x:c>
      <x:c r="J74" s="11"/>
      <x:c r="K74" s="11"/>
      <x:c r="L74" s="10" t="str">
        <x:v>Atlanta, Georgia office.</x:v>
      </x:c>
      <x:c r="M74" s="10" t="str"/>
      <x:c r="N74" s="10" t="str">
        <x:v>Conditional research prospect</x:v>
      </x:c>
      <x:c r="O74" s="13" t="str">
        <x:v>new</x:v>
      </x:c>
      <x:c r="P74" s="13" t="str"/>
      <x:c r="Q74" s="10" t="str">
        <x:v>Not contacted / unconfirmed</x:v>
      </x:c>
      <x:c r="R74" s="10" t="str">
        <x:v>unverified</x:v>
      </x:c>
      <x:c r="S74" s="10" t="str">
        <x:v>2026-09-30</x:v>
      </x:c>
      <x:c r="T74" s="10" t="str">
        <x:v>https://www.geacapitalco.com/</x:v>
      </x:c>
      <x:c r="U74" s="10" t="str">
        <x:v>7f934bbcc61572</x:v>
      </x:c>
    </x:row>
    <x:row r="75" ht="55" customHeight="1">
      <x:c r="A75" s="10" t="str">
        <x:v>a726bad381ec92</x:v>
      </x:c>
      <x:c r="B75" s="10" t="str">
        <x:v>Horowitz Group</x:v>
      </x:c>
      <x:c r="C75" s="10" t="str"/>
      <x:c r="D75" s="10" t="str">
        <x:v>Family investment firm</x:v>
      </x:c>
      <x:c r="E75" s="12" t="str">
        <x:v>1 (949) 831-5158</x:v>
      </x:c>
      <x:c r="F75" s="12" t="str">
        <x:v>info@horowitzgroup.com</x:v>
      </x:c>
      <x:c r="G75" s="10" t="str">
        <x:v>professional_business_contact_as_published</x:v>
      </x:c>
      <x:c r="H75" s="10" t="str">
        <x:v>Published firm inbox</x:v>
      </x:c>
      <x:c r="I75" s="10" t="str">
        <x:v>not_published_unverified</x:v>
      </x:c>
      <x:c r="J75" s="11"/>
      <x:c r="K75" s="11"/>
      <x:c r="L75" s="10" t="str">
        <x:v>Newport Beach, California office and explicitly US-based investment mandate.</x:v>
      </x:c>
      <x:c r="M75" s="10" t="str"/>
      <x:c r="N75" s="10" t="str">
        <x:v>Conditional research prospect</x:v>
      </x:c>
      <x:c r="O75" s="13" t="str">
        <x:v>new</x:v>
      </x:c>
      <x:c r="P75" s="13" t="str"/>
      <x:c r="Q75" s="10" t="str">
        <x:v>Not contacted / unconfirmed</x:v>
      </x:c>
      <x:c r="R75" s="10" t="str">
        <x:v>unverified</x:v>
      </x:c>
      <x:c r="S75" s="10" t="str">
        <x:v>2026-09-30</x:v>
      </x:c>
      <x:c r="T75" s="10" t="str">
        <x:v>https://horowitzgroup.com/</x:v>
      </x:c>
      <x:c r="U75" s="10" t="str">
        <x:v>2c4d27308b1081</x:v>
      </x:c>
    </x:row>
    <x:row r="76" ht="55" customHeight="1">
      <x:c r="A76" s="10" t="str">
        <x:v>62c04961918939</x:v>
      </x:c>
      <x:c r="B76" s="10" t="str">
        <x:v>LG East Partners</x:v>
      </x:c>
      <x:c r="C76" s="10" t="str">
        <x:v>Ray Gu</x:v>
      </x:c>
      <x:c r="D76" s="10" t="str">
        <x:v>Family investment firm</x:v>
      </x:c>
      <x:c r="E76" s="12" t="str">
        <x:v>1 (929) 250-3495</x:v>
      </x:c>
      <x:c r="F76" s="12" t="str">
        <x:v>ray.gu@lgeast.com</x:v>
      </x:c>
      <x:c r="G76" s="10" t="str">
        <x:v>professional_business_contact_as_published</x:v>
      </x:c>
      <x:c r="H76" s="10" t="str">
        <x:v>Published named business email</x:v>
      </x:c>
      <x:c r="I76" s="10" t="str">
        <x:v>not_published_unverified</x:v>
      </x:c>
      <x:c r="J76" s="11"/>
      <x:c r="K76" s="11"/>
      <x:c r="L76" s="10" t="str">
        <x:v>New York business address; real-estate investments across major US markets.</x:v>
      </x:c>
      <x:c r="M76" s="10" t="str">
        <x:v>Partner</x:v>
      </x:c>
      <x:c r="N76" s="10" t="str">
        <x:v>Conditional research prospect</x:v>
      </x:c>
      <x:c r="O76" s="13" t="str">
        <x:v>new</x:v>
      </x:c>
      <x:c r="P76" s="13" t="str"/>
      <x:c r="Q76" s="10" t="str">
        <x:v>Not contacted / unconfirmed</x:v>
      </x:c>
      <x:c r="R76" s="10" t="str">
        <x:v>unverified</x:v>
      </x:c>
      <x:c r="S76" s="10" t="str">
        <x:v>2026-09-30</x:v>
      </x:c>
      <x:c r="T76" s="10" t="str">
        <x:v>https://lgeast.com/</x:v>
      </x:c>
      <x:c r="U76" s="10" t="str">
        <x:v>46c9213ca2175b</x:v>
      </x:c>
    </x:row>
    <x:row r="77" ht="70" customHeight="1">
      <x:c r="A77" s="10" t="str">
        <x:v>d4bffca6ecd6f2</x:v>
      </x:c>
      <x:c r="B77" s="10" t="str">
        <x:v>Monarch Group</x:v>
      </x:c>
      <x:c r="C77" s="10" t="str"/>
      <x:c r="D77" s="10" t="str">
        <x:v>Family investment firm</x:v>
      </x:c>
      <x:c r="E77" s="12" t="str">
        <x:v>1 (317) 344-9395</x:v>
      </x:c>
      <x:c r="F77" s="12" t="str">
        <x:v>legacy@themonarchgroupllc.com</x:v>
      </x:c>
      <x:c r="G77" s="10" t="str">
        <x:v>professional_business_contact_as_published</x:v>
      </x:c>
      <x:c r="H77" s="10" t="str">
        <x:v>Published firm inbox</x:v>
      </x:c>
      <x:c r="I77" s="10" t="str">
        <x:v>not_published_unverified</x:v>
      </x:c>
      <x:c r="J77" s="11"/>
      <x:c r="K77" s="11"/>
      <x:c r="L77" s="10" t="str">
        <x:v>US focus; Wyoming registered-office address and Arizona principal operations in official legal pages.</x:v>
      </x:c>
      <x:c r="M77" s="10" t="str"/>
      <x:c r="N77" s="10" t="str">
        <x:v>Conditional research prospect</x:v>
      </x:c>
      <x:c r="O77" s="13" t="str">
        <x:v>new</x:v>
      </x:c>
      <x:c r="P77" s="13" t="str"/>
      <x:c r="Q77" s="10" t="str">
        <x:v>Not contacted / unconfirmed</x:v>
      </x:c>
      <x:c r="R77" s="10" t="str">
        <x:v>unverified</x:v>
      </x:c>
      <x:c r="S77" s="10" t="str">
        <x:v>2026-09-30</x:v>
      </x:c>
      <x:c r="T77" s="10" t="str">
        <x:v>https://themonarchgroupllc.com/</x:v>
      </x:c>
      <x:c r="U77" s="10" t="str">
        <x:v>3df3ffa4aa207a</x:v>
      </x:c>
    </x:row>
    <x:row r="78" ht="55" customHeight="1">
      <x:c r="A78" s="10" t="str">
        <x:v>8f31423407b2e0</x:v>
      </x:c>
      <x:c r="B78" s="10" t="str">
        <x:v>Signet LLC</x:v>
      </x:c>
      <x:c r="C78" s="10" t="str">
        <x:v>Anthony Manna</x:v>
      </x:c>
      <x:c r="D78" s="10" t="str">
        <x:v>Family investment firm</x:v>
      </x:c>
      <x:c r="E78" s="12" t="str">
        <x:v>1 (330) 253-5060</x:v>
      </x:c>
      <x:c r="F78" s="12" t="str">
        <x:v>amanna@signetllc.com</x:v>
      </x:c>
      <x:c r="G78" s="10" t="str">
        <x:v>professional_business_contact_as_published</x:v>
      </x:c>
      <x:c r="H78" s="10" t="str">
        <x:v>Published named business email</x:v>
      </x:c>
      <x:c r="I78" s="10" t="str">
        <x:v>not_published_unverified</x:v>
      </x:c>
      <x:c r="J78" s="11"/>
      <x:c r="K78" s="11"/>
      <x:c r="L78" s="10" t="str">
        <x:v>Headquarters19 North High Street, Akron, Ohio44308.</x:v>
      </x:c>
      <x:c r="M78" s="10" t="str">
        <x:v>Founder and Chairman</x:v>
      </x:c>
      <x:c r="N78" s="10" t="str">
        <x:v>Conditional research prospect</x:v>
      </x:c>
      <x:c r="O78" s="13" t="str">
        <x:v>new</x:v>
      </x:c>
      <x:c r="P78" s="13" t="str"/>
      <x:c r="Q78" s="10" t="str">
        <x:v>Not contacted / unconfirmed</x:v>
      </x:c>
      <x:c r="R78" s="10" t="str">
        <x:v>unverified</x:v>
      </x:c>
      <x:c r="S78" s="10" t="str">
        <x:v>2026-09-30</x:v>
      </x:c>
      <x:c r="T78" s="10" t="str">
        <x:v>https://www.signetllc.com/</x:v>
      </x:c>
      <x:c r="U78" s="10" t="str">
        <x:v>34eaaaeb458c15</x:v>
      </x:c>
    </x:row>
    <x:row r="79" ht="55" customHeight="1">
      <x:c r="A79" s="10" t="str">
        <x:v>7d94742b9ec684</x:v>
      </x:c>
      <x:c r="B79" s="10" t="str">
        <x:v>Skyrise Properties</x:v>
      </x:c>
      <x:c r="C79" s="10" t="str"/>
      <x:c r="D79" s="10" t="str">
        <x:v>Family investment firm</x:v>
      </x:c>
      <x:c r="E79" s="12" t="str">
        <x:v>1 (972) 733-1400</x:v>
      </x:c>
      <x:c r="F79" s="12" t="str">
        <x:v>info@skyriseproperties.com</x:v>
      </x:c>
      <x:c r="G79" s="10" t="str">
        <x:v>professional_business_contact_as_published</x:v>
      </x:c>
      <x:c r="H79" s="10" t="str">
        <x:v>Published firm inbox</x:v>
      </x:c>
      <x:c r="I79" s="10" t="str">
        <x:v>not_published_unverified</x:v>
      </x:c>
      <x:c r="J79" s="11"/>
      <x:c r="K79" s="11"/>
      <x:c r="L79" s="10" t="str">
        <x:v>Dallas, Texas headquarters.</x:v>
      </x:c>
      <x:c r="M79" s="10" t="str"/>
      <x:c r="N79" s="10" t="str">
        <x:v>Conditional research prospect</x:v>
      </x:c>
      <x:c r="O79" s="13" t="str">
        <x:v>new</x:v>
      </x:c>
      <x:c r="P79" s="13" t="str"/>
      <x:c r="Q79" s="10" t="str">
        <x:v>Not contacted / unconfirmed</x:v>
      </x:c>
      <x:c r="R79" s="10" t="str">
        <x:v>unverified</x:v>
      </x:c>
      <x:c r="S79" s="10" t="str">
        <x:v>2026-09-30</x:v>
      </x:c>
      <x:c r="T79" s="10" t="str">
        <x:v>https://skyriseproperties.com/</x:v>
      </x:c>
      <x:c r="U79" s="10" t="str">
        <x:v>dba75f12313921</x:v>
      </x:c>
    </x:row>
    <x:row r="80" ht="55" customHeight="1">
      <x:c r="A80" s="10" t="str">
        <x:v>cabd04601848b2</x:v>
      </x:c>
      <x:c r="B80" s="10" t="str">
        <x:v>Stella Maris Family Office</x:v>
      </x:c>
      <x:c r="C80" s="10" t="str"/>
      <x:c r="D80" s="10" t="str">
        <x:v>Family investment firm</x:v>
      </x:c>
      <x:c r="E80" s="12" t="str">
        <x:v>1 (913) 278-0700</x:v>
      </x:c>
      <x:c r="F80" s="12" t="str">
        <x:v>connect@stellamarisfo.com</x:v>
      </x:c>
      <x:c r="G80" s="10" t="str">
        <x:v>professional_business_contact_as_published</x:v>
      </x:c>
      <x:c r="H80" s="10" t="str">
        <x:v>Published firm inbox</x:v>
      </x:c>
      <x:c r="I80" s="10" t="str">
        <x:v>not_published_unverified</x:v>
      </x:c>
      <x:c r="J80" s="11"/>
      <x:c r="K80" s="11"/>
      <x:c r="L80" s="10" t="str">
        <x:v>Kansas City area headquarters; Midwest, Southeast and Southwest investment geography.</x:v>
      </x:c>
      <x:c r="M80" s="10" t="str"/>
      <x:c r="N80" s="10" t="str">
        <x:v>Conditional research prospect</x:v>
      </x:c>
      <x:c r="O80" s="13" t="str">
        <x:v>new</x:v>
      </x:c>
      <x:c r="P80" s="13" t="str"/>
      <x:c r="Q80" s="10" t="str">
        <x:v>Not contacted / unconfirmed</x:v>
      </x:c>
      <x:c r="R80" s="10" t="str">
        <x:v>unverified</x:v>
      </x:c>
      <x:c r="S80" s="10" t="str">
        <x:v>2026-09-30</x:v>
      </x:c>
      <x:c r="T80" s="10" t="str">
        <x:v>https://stellamarisfo.com/</x:v>
      </x:c>
      <x:c r="U80" s="10" t="str">
        <x:v>4dfd9b3861c443</x:v>
      </x:c>
    </x:row>
    <x:row r="81" ht="55" customHeight="1">
      <x:c r="A81" s="10" t="str">
        <x:v>a75306404ad366</x:v>
      </x:c>
      <x:c r="B81" s="10" t="str">
        <x:v>Sylvanite Capital</x:v>
      </x:c>
      <x:c r="C81" s="10" t="str">
        <x:v>Harrison Stoneham</x:v>
      </x:c>
      <x:c r="D81" s="10" t="str">
        <x:v>Family investment firm</x:v>
      </x:c>
      <x:c r="E81" s="12" t="str">
        <x:v>1 (858) 215-1880</x:v>
      </x:c>
      <x:c r="F81" s="12" t="str">
        <x:v>harrison@sylvanitecapital.com</x:v>
      </x:c>
      <x:c r="G81" s="10" t="str">
        <x:v>professional_business_contact_as_published</x:v>
      </x:c>
      <x:c r="H81" s="10" t="str">
        <x:v>Published named business email</x:v>
      </x:c>
      <x:c r="I81" s="10" t="str">
        <x:v>not_published_unverified</x:v>
      </x:c>
      <x:c r="J81" s="11"/>
      <x:c r="K81" s="11"/>
      <x:c r="L81" s="10" t="str">
        <x:v>La Jolla, California office.</x:v>
      </x:c>
      <x:c r="M81" s="10" t="str">
        <x:v>Principal</x:v>
      </x:c>
      <x:c r="N81" s="10" t="str">
        <x:v>Conditional research prospect</x:v>
      </x:c>
      <x:c r="O81" s="13" t="str">
        <x:v>new</x:v>
      </x:c>
      <x:c r="P81" s="13" t="str"/>
      <x:c r="Q81" s="10" t="str">
        <x:v>Not contacted / unconfirmed</x:v>
      </x:c>
      <x:c r="R81" s="10" t="str">
        <x:v>unverified</x:v>
      </x:c>
      <x:c r="S81" s="10" t="str">
        <x:v>2026-09-30</x:v>
      </x:c>
      <x:c r="T81" s="10" t="str">
        <x:v>https://www.sylvanitecapital.com/</x:v>
      </x:c>
      <x:c r="U81" s="10" t="str">
        <x:v>3f6d65fbe45405</x:v>
      </x:c>
    </x:row>
    <x:row r="82" ht="55" customHeight="1">
      <x:c r="A82" s="10" t="str">
        <x:v>38f04530bca2b1</x:v>
      </x:c>
      <x:c r="B82" s="10" t="str">
        <x:v>Alpaca VC</x:v>
      </x:c>
      <x:c r="C82" s="10" t="str">
        <x:v>Aubrie Pagano</x:v>
      </x:c>
      <x:c r="D82" s="10" t="str">
        <x:v>Named investor / firm principal</x:v>
      </x:c>
      <x:c r="E82" s="12" t="str">
        <x:v>1 (860) 501-0289</x:v>
      </x:c>
      <x:c r="F82" s="12" t="str">
        <x:v>hey@alpaca.vc</x:v>
      </x:c>
      <x:c r="G82" s="10" t="str">
        <x:v>Published SEC business-office routing number</x:v>
      </x:c>
      <x:c r="H82" s="10" t="str">
        <x:v>published_firm_inbox_routing</x:v>
      </x:c>
      <x:c r="I82" s="10" t="str">
        <x:v>not_published_on_reviewed_current_sources</x:v>
      </x:c>
      <x:c r="J82" s="11"/>
      <x:c r="K82" s="11"/>
      <x:c r="L82" s="10" t="str">
        <x:v>New York, NY</x:v>
      </x:c>
      <x:c r="M82" s="10" t="str">
        <x:v>General Partner and Managing Member</x:v>
      </x:c>
      <x:c r="N82" s="10" t="str">
        <x:v>Conditional research prospect</x:v>
      </x:c>
      <x:c r="O82" s="13" t="str">
        <x:v>new</x:v>
      </x:c>
      <x:c r="P82" s="13" t="str"/>
      <x:c r="Q82" s="10" t="str">
        <x:v>Not contacted / unconfirmed</x:v>
      </x:c>
      <x:c r="R82" s="10" t="str">
        <x:v>unverified</x:v>
      </x:c>
      <x:c r="S82" s="10" t="str">
        <x:v>2026-09-30</x:v>
      </x:c>
      <x:c r="T82" s="10" t="str">
        <x:v>https://alpaca.vc/team</x:v>
      </x:c>
      <x:c r="U82" s="10" t="str">
        <x:v>50c6aaecbc6654</x:v>
      </x:c>
    </x:row>
    <x:row r="83" ht="55" customHeight="1">
      <x:c r="A83" s="10" t="str">
        <x:v>5f326fcf116eb3</x:v>
      </x:c>
      <x:c r="B83" s="10" t="str">
        <x:v>Alpaca VC</x:v>
      </x:c>
      <x:c r="C83" s="10" t="str">
        <x:v>Josh Jagota</x:v>
      </x:c>
      <x:c r="D83" s="10" t="str">
        <x:v>Named investor / firm principal</x:v>
      </x:c>
      <x:c r="E83" s="12" t="str">
        <x:v>1 (860) 501-0289</x:v>
      </x:c>
      <x:c r="F83" s="12" t="str">
        <x:v>hey@alpaca.vc</x:v>
      </x:c>
      <x:c r="G83" s="10" t="str">
        <x:v>Published SEC business-office routing number</x:v>
      </x:c>
      <x:c r="H83" s="10" t="str">
        <x:v>published_firm_inbox_routing</x:v>
      </x:c>
      <x:c r="I83" s="10" t="str">
        <x:v>not_published_on_reviewed_current_sources</x:v>
      </x:c>
      <x:c r="J83" s="11"/>
      <x:c r="K83" s="11"/>
      <x:c r="L83" s="10" t="str">
        <x:v>New York, NY</x:v>
      </x:c>
      <x:c r="M83" s="10" t="str">
        <x:v>Principal</x:v>
      </x:c>
      <x:c r="N83" s="10" t="str">
        <x:v>Conditional research prospect</x:v>
      </x:c>
      <x:c r="O83" s="13" t="str">
        <x:v>new</x:v>
      </x:c>
      <x:c r="P83" s="13" t="str"/>
      <x:c r="Q83" s="10" t="str">
        <x:v>Not contacted / unconfirmed</x:v>
      </x:c>
      <x:c r="R83" s="10" t="str">
        <x:v>unverified</x:v>
      </x:c>
      <x:c r="S83" s="10" t="str">
        <x:v>2026-09-30</x:v>
      </x:c>
      <x:c r="T83" s="10" t="str">
        <x:v>https://alpaca.vc/team</x:v>
      </x:c>
      <x:c r="U83" s="10" t="str">
        <x:v>50c6aaecbc6654</x:v>
      </x:c>
    </x:row>
    <x:row r="84" ht="55" customHeight="1">
      <x:c r="A84" s="10" t="str">
        <x:v>24aed23bc7b43f</x:v>
      </x:c>
      <x:c r="B84" s="10" t="str">
        <x:v>Alpaca VC</x:v>
      </x:c>
      <x:c r="C84" s="10" t="str">
        <x:v>Ryan Freedman</x:v>
      </x:c>
      <x:c r="D84" s="10" t="str">
        <x:v>Named investor / firm principal</x:v>
      </x:c>
      <x:c r="E84" s="12" t="str">
        <x:v>1 (860) 501-0289</x:v>
      </x:c>
      <x:c r="F84" s="12" t="str">
        <x:v>hey@alpaca.vc</x:v>
      </x:c>
      <x:c r="G84" s="10" t="str">
        <x:v>Published SEC business-office routing number</x:v>
      </x:c>
      <x:c r="H84" s="10" t="str">
        <x:v>published_firm_inbox_routing</x:v>
      </x:c>
      <x:c r="I84" s="10" t="str">
        <x:v>not_published_on_reviewed_current_sources</x:v>
      </x:c>
      <x:c r="J84" s="11"/>
      <x:c r="K84" s="11"/>
      <x:c r="L84" s="10" t="str">
        <x:v>New York, NY</x:v>
      </x:c>
      <x:c r="M84" s="10" t="str">
        <x:v>Co-Founder and Executive Chairman</x:v>
      </x:c>
      <x:c r="N84" s="10" t="str">
        <x:v>Conditional research prospect</x:v>
      </x:c>
      <x:c r="O84" s="13" t="str">
        <x:v>new</x:v>
      </x:c>
      <x:c r="P84" s="13" t="str"/>
      <x:c r="Q84" s="10" t="str">
        <x:v>Not contacted / unconfirmed</x:v>
      </x:c>
      <x:c r="R84" s="10" t="str">
        <x:v>unverified</x:v>
      </x:c>
      <x:c r="S84" s="10" t="str">
        <x:v>2026-09-30</x:v>
      </x:c>
      <x:c r="T84" s="10" t="str">
        <x:v>https://alpaca.vc/team</x:v>
      </x:c>
      <x:c r="U84" s="10" t="str">
        <x:v>50c6aaecbc6654</x:v>
      </x:c>
    </x:row>
    <x:row r="85" ht="55" customHeight="1">
      <x:c r="A85" s="10" t="str">
        <x:v>7cd9f9ba57d922</x:v>
      </x:c>
      <x:c r="B85" s="10" t="str">
        <x:v>Belgravia Management</x:v>
      </x:c>
      <x:c r="C85" s="10" t="str">
        <x:v>Artur Debek</x:v>
      </x:c>
      <x:c r="D85" s="10" t="str">
        <x:v>Named investor / firm principal</x:v>
      </x:c>
      <x:c r="E85" s="12" t="str">
        <x:v>1 (267) 338-4994</x:v>
      </x:c>
      <x:c r="F85" s="12" t="str">
        <x:v>info@belgravialp.com</x:v>
      </x:c>
      <x:c r="G85" s="10" t="str">
        <x:v>published_firm_mainline</x:v>
      </x:c>
      <x:c r="H85" s="10" t="str">
        <x:v>published_firm_inbox_routing</x:v>
      </x:c>
      <x:c r="I85" s="10" t="str">
        <x:v>not_published_on_reviewed_current_sources</x:v>
      </x:c>
      <x:c r="J85" s="11"/>
      <x:c r="K85" s="11"/>
      <x:c r="L85" s="10" t="str">
        <x:v>Philadelphia, PA</x:v>
      </x:c>
      <x:c r="M85" s="10" t="str">
        <x:v>Vice President of Investments</x:v>
      </x:c>
      <x:c r="N85" s="10" t="str">
        <x:v>Conditional research prospect</x:v>
      </x:c>
      <x:c r="O85" s="13" t="str">
        <x:v>new</x:v>
      </x:c>
      <x:c r="P85" s="13" t="str"/>
      <x:c r="Q85" s="10" t="str">
        <x:v>Not contacted / unconfirmed</x:v>
      </x:c>
      <x:c r="R85" s="10" t="str">
        <x:v>unverified</x:v>
      </x:c>
      <x:c r="S85" s="10" t="str">
        <x:v>2026-09-30</x:v>
      </x:c>
      <x:c r="T85" s="10" t="str">
        <x:v>https://www.belgravia-management.com/</x:v>
      </x:c>
      <x:c r="U85" s="10" t="str">
        <x:v>f02d009210c08f</x:v>
      </x:c>
    </x:row>
    <x:row r="86" ht="55" customHeight="1">
      <x:c r="A86" s="10" t="str">
        <x:v>5242c3800dfeb0</x:v>
      </x:c>
      <x:c r="B86" s="10" t="str">
        <x:v>Belgravia Management</x:v>
      </x:c>
      <x:c r="C86" s="10" t="str">
        <x:v>Ira Lubert</x:v>
      </x:c>
      <x:c r="D86" s="10" t="str">
        <x:v>Named investor / firm principal</x:v>
      </x:c>
      <x:c r="E86" s="12" t="str">
        <x:v>1 (267) 338-4994</x:v>
      </x:c>
      <x:c r="F86" s="12" t="str">
        <x:v>info@belgravialp.com</x:v>
      </x:c>
      <x:c r="G86" s="10" t="str">
        <x:v>published_firm_mainline</x:v>
      </x:c>
      <x:c r="H86" s="10" t="str">
        <x:v>published_firm_inbox_routing</x:v>
      </x:c>
      <x:c r="I86" s="10" t="str">
        <x:v>not_published_on_reviewed_current_sources</x:v>
      </x:c>
      <x:c r="J86" s="11"/>
      <x:c r="K86" s="11"/>
      <x:c r="L86" s="10" t="str">
        <x:v>Philadelphia, PA</x:v>
      </x:c>
      <x:c r="M86" s="10" t="str">
        <x:v>Founder</x:v>
      </x:c>
      <x:c r="N86" s="10" t="str">
        <x:v>Conditional research prospect</x:v>
      </x:c>
      <x:c r="O86" s="13" t="str">
        <x:v>new</x:v>
      </x:c>
      <x:c r="P86" s="13" t="str"/>
      <x:c r="Q86" s="10" t="str">
        <x:v>Not contacted / unconfirmed</x:v>
      </x:c>
      <x:c r="R86" s="10" t="str">
        <x:v>unverified</x:v>
      </x:c>
      <x:c r="S86" s="10" t="str">
        <x:v>2026-09-30</x:v>
      </x:c>
      <x:c r="T86" s="10" t="str">
        <x:v>https://www.belgravia-management.com/</x:v>
      </x:c>
      <x:c r="U86" s="10" t="str">
        <x:v>f02d009210c08f</x:v>
      </x:c>
    </x:row>
    <x:row r="87" ht="55" customHeight="1">
      <x:c r="A87" s="10" t="str">
        <x:v>35a784f234d610</x:v>
      </x:c>
      <x:c r="B87" s="10" t="str">
        <x:v>Belgravia Management</x:v>
      </x:c>
      <x:c r="C87" s="10" t="str">
        <x:v>Jonathan Lubert</x:v>
      </x:c>
      <x:c r="D87" s="10" t="str">
        <x:v>Named investor / firm principal</x:v>
      </x:c>
      <x:c r="E87" s="12" t="str">
        <x:v>1 (267) 338-4994</x:v>
      </x:c>
      <x:c r="F87" s="12" t="str">
        <x:v>info@belgravialp.com</x:v>
      </x:c>
      <x:c r="G87" s="10" t="str">
        <x:v>published_firm_mainline</x:v>
      </x:c>
      <x:c r="H87" s="10" t="str">
        <x:v>published_firm_inbox_routing</x:v>
      </x:c>
      <x:c r="I87" s="10" t="str">
        <x:v>not_published_on_reviewed_current_sources</x:v>
      </x:c>
      <x:c r="J87" s="11"/>
      <x:c r="K87" s="11"/>
      <x:c r="L87" s="10" t="str">
        <x:v>Philadelphia, PA</x:v>
      </x:c>
      <x:c r="M87" s="10" t="str">
        <x:v>Chairman</x:v>
      </x:c>
      <x:c r="N87" s="10" t="str">
        <x:v>Conditional research prospect</x:v>
      </x:c>
      <x:c r="O87" s="13" t="str">
        <x:v>new</x:v>
      </x:c>
      <x:c r="P87" s="13" t="str"/>
      <x:c r="Q87" s="10" t="str">
        <x:v>Not contacted / unconfirmed</x:v>
      </x:c>
      <x:c r="R87" s="10" t="str">
        <x:v>unverified</x:v>
      </x:c>
      <x:c r="S87" s="10" t="str">
        <x:v>2026-09-30</x:v>
      </x:c>
      <x:c r="T87" s="10" t="str">
        <x:v>https://www.belgravia-management.com/</x:v>
      </x:c>
      <x:c r="U87" s="10" t="str">
        <x:v>f02d009210c08f</x:v>
      </x:c>
    </x:row>
    <x:row r="88" ht="55" customHeight="1">
      <x:c r="A88" s="10" t="str">
        <x:v>11b455d8a177f3</x:v>
      </x:c>
      <x:c r="B88" s="10" t="str">
        <x:v>Belgravia Management</x:v>
      </x:c>
      <x:c r="C88" s="10" t="str">
        <x:v>Michael Wigrizer</x:v>
      </x:c>
      <x:c r="D88" s="10" t="str">
        <x:v>Named investor / firm principal</x:v>
      </x:c>
      <x:c r="E88" s="12" t="str">
        <x:v>1 (267) 338-4994</x:v>
      </x:c>
      <x:c r="F88" s="12" t="str">
        <x:v>info@belgravialp.com</x:v>
      </x:c>
      <x:c r="G88" s="10" t="str">
        <x:v>published_firm_mainline</x:v>
      </x:c>
      <x:c r="H88" s="10" t="str">
        <x:v>published_firm_inbox_routing</x:v>
      </x:c>
      <x:c r="I88" s="10" t="str">
        <x:v>not_published_on_reviewed_current_sources</x:v>
      </x:c>
      <x:c r="J88" s="11"/>
      <x:c r="K88" s="11"/>
      <x:c r="L88" s="10" t="str">
        <x:v>Philadelphia, PA</x:v>
      </x:c>
      <x:c r="M88" s="10" t="str">
        <x:v>Director of Investments</x:v>
      </x:c>
      <x:c r="N88" s="10" t="str">
        <x:v>Conditional research prospect</x:v>
      </x:c>
      <x:c r="O88" s="13" t="str">
        <x:v>new</x:v>
      </x:c>
      <x:c r="P88" s="13" t="str"/>
      <x:c r="Q88" s="10" t="str">
        <x:v>Not contacted / unconfirmed</x:v>
      </x:c>
      <x:c r="R88" s="10" t="str">
        <x:v>unverified</x:v>
      </x:c>
      <x:c r="S88" s="10" t="str">
        <x:v>2026-09-30</x:v>
      </x:c>
      <x:c r="T88" s="10" t="str">
        <x:v>https://www.belgravia-management.com/</x:v>
      </x:c>
      <x:c r="U88" s="10" t="str">
        <x:v>f02d009210c08f</x:v>
      </x:c>
    </x:row>
    <x:row r="89" ht="55" customHeight="1">
      <x:c r="A89" s="10" t="str">
        <x:v>6b49b709589e82</x:v>
      </x:c>
      <x:c r="B89" s="10" t="str">
        <x:v>Broadpeak Investment Group</x:v>
      </x:c>
      <x:c r="C89" s="10" t="str">
        <x:v>Tariq Farid</x:v>
      </x:c>
      <x:c r="D89" s="10" t="str">
        <x:v>Named investor / firm principal</x:v>
      </x:c>
      <x:c r="E89" s="12" t="str">
        <x:v>1 (678) 992-2230</x:v>
      </x:c>
      <x:c r="F89" s="12" t="str">
        <x:v>info@broadpeak.com</x:v>
      </x:c>
      <x:c r="G89" s="10" t="str">
        <x:v>published_firm_mainline</x:v>
      </x:c>
      <x:c r="H89" s="10" t="str">
        <x:v>published_firm_inbox_routing</x:v>
      </x:c>
      <x:c r="I89" s="10" t="str">
        <x:v>not_published_on_reviewed_current_sources</x:v>
      </x:c>
      <x:c r="J89" s="11"/>
      <x:c r="K89" s="11"/>
      <x:c r="L89" s="10" t="str">
        <x:v>Atlanta, GA</x:v>
      </x:c>
      <x:c r="M89" s="10" t="str">
        <x:v>Founder</x:v>
      </x:c>
      <x:c r="N89" s="10" t="str">
        <x:v>Conditional research prospect</x:v>
      </x:c>
      <x:c r="O89" s="13" t="str">
        <x:v>new</x:v>
      </x:c>
      <x:c r="P89" s="13" t="str"/>
      <x:c r="Q89" s="10" t="str">
        <x:v>Not contacted / unconfirmed</x:v>
      </x:c>
      <x:c r="R89" s="10" t="str">
        <x:v>unverified</x:v>
      </x:c>
      <x:c r="S89" s="10" t="str">
        <x:v>2026-09-30</x:v>
      </x:c>
      <x:c r="T89" s="10" t="str">
        <x:v>https://broadpeak.com/</x:v>
      </x:c>
      <x:c r="U89" s="10" t="str">
        <x:v>dff7971556d4ba</x:v>
      </x:c>
    </x:row>
    <x:row r="90" ht="55" customHeight="1">
      <x:c r="A90" s="10" t="str">
        <x:v>67c97c716e20ec</x:v>
      </x:c>
      <x:c r="B90" s="10" t="str">
        <x:v>CitySide Ventures / Birmingham Angels</x:v>
      </x:c>
      <x:c r="C90" s="10" t="str">
        <x:v>Doron York</x:v>
      </x:c>
      <x:c r="D90" s="10" t="str">
        <x:v>Named investor / firm principal</x:v>
      </x:c>
      <x:c r="E90" s="12" t="str">
        <x:v>1 (248) 981-6688</x:v>
      </x:c>
      <x:c r="F90" s="12" t="str">
        <x:v>dyork@citysidevc.com</x:v>
      </x:c>
      <x:c r="G90" s="10" t="str">
        <x:v>named_direct_business_line</x:v>
      </x:c>
      <x:c r="H90" s="10" t="str">
        <x:v>named_published_professional_email</x:v>
      </x:c>
      <x:c r="I90" s="10" t="str">
        <x:v>not_published_on_reviewed_current_sources</x:v>
      </x:c>
      <x:c r="J90" s="11"/>
      <x:c r="K90" s="11"/>
      <x:c r="L90" s="10" t="str">
        <x:v>Birmingham, MI</x:v>
      </x:c>
      <x:c r="M90" s="10" t="str">
        <x:v>Chairman and CEO / Co-Founder</x:v>
      </x:c>
      <x:c r="N90" s="10" t="str">
        <x:v>Conditional research prospect</x:v>
      </x:c>
      <x:c r="O90" s="13" t="str">
        <x:v>new</x:v>
      </x:c>
      <x:c r="P90" s="13" t="str"/>
      <x:c r="Q90" s="10" t="str">
        <x:v>Not contacted / unconfirmed</x:v>
      </x:c>
      <x:c r="R90" s="10" t="str">
        <x:v>unverified</x:v>
      </x:c>
      <x:c r="S90" s="10" t="str">
        <x:v>2026-09-30</x:v>
      </x:c>
      <x:c r="T90" s="10" t="str">
        <x:v>https://birminghamvp.com/teams/doron-york/</x:v>
      </x:c>
      <x:c r="U90" s="10" t="str">
        <x:v>1aa0197d961e92</x:v>
      </x:c>
    </x:row>
    <x:row r="91" ht="55" customHeight="1">
      <x:c r="A91" s="10" t="str">
        <x:v>07939f97892cfd</x:v>
      </x:c>
      <x:c r="B91" s="10" t="str">
        <x:v>Detroit Venture Partners</x:v>
      </x:c>
      <x:c r="C91" s="10" t="str">
        <x:v>Dan Gilbert</x:v>
      </x:c>
      <x:c r="D91" s="10" t="str">
        <x:v>Named investor / firm principal</x:v>
      </x:c>
      <x:c r="E91" s="12" t="str">
        <x:v>1 (313) 373-7758</x:v>
      </x:c>
      <x:c r="F91" s="12" t="str">
        <x:v>info@detroit.vc</x:v>
      </x:c>
      <x:c r="G91" s="10" t="str">
        <x:v>Published SEC business-office routing number</x:v>
      </x:c>
      <x:c r="H91" s="10" t="str">
        <x:v>published_firm_inbox_routing</x:v>
      </x:c>
      <x:c r="I91" s="10" t="str">
        <x:v>not_published_on_reviewed_current_sources</x:v>
      </x:c>
      <x:c r="J91" s="11"/>
      <x:c r="K91" s="11"/>
      <x:c r="L91" s="10" t="str">
        <x:v>Detroit, MI</x:v>
      </x:c>
      <x:c r="M91" s="10" t="str">
        <x:v>Founding Partner</x:v>
      </x:c>
      <x:c r="N91" s="10" t="str">
        <x:v>Conditional research prospect</x:v>
      </x:c>
      <x:c r="O91" s="13" t="str">
        <x:v>new</x:v>
      </x:c>
      <x:c r="P91" s="13" t="str"/>
      <x:c r="Q91" s="10" t="str">
        <x:v>Not contacted / unconfirmed</x:v>
      </x:c>
      <x:c r="R91" s="10" t="str">
        <x:v>unverified</x:v>
      </x:c>
      <x:c r="S91" s="10" t="str">
        <x:v>2026-09-30</x:v>
      </x:c>
      <x:c r="T91" s="10" t="str">
        <x:v>https://detroit.vc/</x:v>
      </x:c>
      <x:c r="U91" s="10" t="str">
        <x:v>6cab36a90acbdc</x:v>
      </x:c>
    </x:row>
    <x:row r="92" ht="55" customHeight="1">
      <x:c r="A92" s="10" t="str">
        <x:v>22dff98656029a</x:v>
      </x:c>
      <x:c r="B92" s="10" t="str">
        <x:v>Detroit Venture Partners</x:v>
      </x:c>
      <x:c r="C92" s="10" t="str">
        <x:v>Jake Cohen</x:v>
      </x:c>
      <x:c r="D92" s="10" t="str">
        <x:v>Named investor / firm principal</x:v>
      </x:c>
      <x:c r="E92" s="12" t="str">
        <x:v>1 (313) 373-7758</x:v>
      </x:c>
      <x:c r="F92" s="12" t="str">
        <x:v>info@detroit.vc</x:v>
      </x:c>
      <x:c r="G92" s="10" t="str">
        <x:v>Published SEC business-office routing number</x:v>
      </x:c>
      <x:c r="H92" s="10" t="str">
        <x:v>published_firm_inbox_routing</x:v>
      </x:c>
      <x:c r="I92" s="10" t="str">
        <x:v>not_published_on_reviewed_current_sources</x:v>
      </x:c>
      <x:c r="J92" s="11"/>
      <x:c r="K92" s="11"/>
      <x:c r="L92" s="10" t="str">
        <x:v>Detroit, MI</x:v>
      </x:c>
      <x:c r="M92" s="10" t="str">
        <x:v>Partner</x:v>
      </x:c>
      <x:c r="N92" s="10" t="str">
        <x:v>Conditional research prospect</x:v>
      </x:c>
      <x:c r="O92" s="13" t="str">
        <x:v>new</x:v>
      </x:c>
      <x:c r="P92" s="13" t="str"/>
      <x:c r="Q92" s="10" t="str">
        <x:v>Not contacted / unconfirmed</x:v>
      </x:c>
      <x:c r="R92" s="10" t="str">
        <x:v>unverified</x:v>
      </x:c>
      <x:c r="S92" s="10" t="str">
        <x:v>2026-09-30</x:v>
      </x:c>
      <x:c r="T92" s="10" t="str">
        <x:v>https://detroit.vc/</x:v>
      </x:c>
      <x:c r="U92" s="10" t="str">
        <x:v>6cab36a90acbdc</x:v>
      </x:c>
    </x:row>
    <x:row r="93" ht="55" customHeight="1">
      <x:c r="A93" s="10" t="str">
        <x:v>14e8fc365a0350</x:v>
      </x:c>
      <x:c r="B93" s="10" t="str">
        <x:v>Detroit Venture Partners</x:v>
      </x:c>
      <x:c r="C93" s="10" t="str">
        <x:v>Jared Stasik</x:v>
      </x:c>
      <x:c r="D93" s="10" t="str">
        <x:v>Named investor / firm principal</x:v>
      </x:c>
      <x:c r="E93" s="12" t="str">
        <x:v>1 (313) 373-7758</x:v>
      </x:c>
      <x:c r="F93" s="12" t="str">
        <x:v>info@detroit.vc</x:v>
      </x:c>
      <x:c r="G93" s="10" t="str">
        <x:v>Published SEC business-office routing number</x:v>
      </x:c>
      <x:c r="H93" s="10" t="str">
        <x:v>published_firm_inbox_routing</x:v>
      </x:c>
      <x:c r="I93" s="10" t="str">
        <x:v>not_published_on_reviewed_current_sources</x:v>
      </x:c>
      <x:c r="J93" s="11"/>
      <x:c r="K93" s="11"/>
      <x:c r="L93" s="10" t="str">
        <x:v>Detroit, MI</x:v>
      </x:c>
      <x:c r="M93" s="10" t="str">
        <x:v>Partner</x:v>
      </x:c>
      <x:c r="N93" s="10" t="str">
        <x:v>Conditional research prospect</x:v>
      </x:c>
      <x:c r="O93" s="13" t="str">
        <x:v>new</x:v>
      </x:c>
      <x:c r="P93" s="13" t="str"/>
      <x:c r="Q93" s="10" t="str">
        <x:v>Not contacted / unconfirmed</x:v>
      </x:c>
      <x:c r="R93" s="10" t="str">
        <x:v>unverified</x:v>
      </x:c>
      <x:c r="S93" s="10" t="str">
        <x:v>2026-09-30</x:v>
      </x:c>
      <x:c r="T93" s="10" t="str">
        <x:v>https://detroit.vc/</x:v>
      </x:c>
      <x:c r="U93" s="10" t="str">
        <x:v>6cab36a90acbdc</x:v>
      </x:c>
    </x:row>
    <x:row r="94" ht="55" customHeight="1">
      <x:c r="A94" s="10" t="str">
        <x:v>d2ed2a287772c8</x:v>
      </x:c>
      <x:c r="B94" s="10" t="str">
        <x:v>eLab Ventures</x:v>
      </x:c>
      <x:c r="C94" s="10" t="str">
        <x:v>Bob Stefanski</x:v>
      </x:c>
      <x:c r="D94" s="10" t="str">
        <x:v>Named investor / firm principal</x:v>
      </x:c>
      <x:c r="E94" s="12" t="str">
        <x:v>1 (734) 926-5221</x:v>
      </x:c>
      <x:c r="F94" s="12" t="str">
        <x:v>info@elabvc.com</x:v>
      </x:c>
      <x:c r="G94" s="10" t="str">
        <x:v>published_firm_mainline</x:v>
      </x:c>
      <x:c r="H94" s="10" t="str">
        <x:v>published_firm_inbox_routing</x:v>
      </x:c>
      <x:c r="I94" s="10" t="str">
        <x:v>not_published_on_reviewed_current_sources</x:v>
      </x:c>
      <x:c r="J94" s="11"/>
      <x:c r="K94" s="11"/>
      <x:c r="L94" s="10" t="str">
        <x:v>Ann Arbor, MI</x:v>
      </x:c>
      <x:c r="M94" s="10" t="str">
        <x:v>Managing Director</x:v>
      </x:c>
      <x:c r="N94" s="10" t="str">
        <x:v>Conditional research prospect</x:v>
      </x:c>
      <x:c r="O94" s="13" t="str">
        <x:v>new</x:v>
      </x:c>
      <x:c r="P94" s="13" t="str"/>
      <x:c r="Q94" s="10" t="str">
        <x:v>Not contacted / unconfirmed</x:v>
      </x:c>
      <x:c r="R94" s="10" t="str">
        <x:v>unverified</x:v>
      </x:c>
      <x:c r="S94" s="10" t="str">
        <x:v>2026-09-30</x:v>
      </x:c>
      <x:c r="T94" s="10" t="str">
        <x:v>https://www.elabvc.com/team</x:v>
      </x:c>
      <x:c r="U94" s="10" t="str">
        <x:v>55e8a9692ffd0f</x:v>
      </x:c>
    </x:row>
    <x:row r="95" ht="55" customHeight="1">
      <x:c r="A95" s="10" t="str">
        <x:v>0a79d71e538ed8</x:v>
      </x:c>
      <x:c r="B95" s="10" t="str">
        <x:v>eLab Ventures</x:v>
      </x:c>
      <x:c r="C95" s="10" t="str">
        <x:v>Doug Neal</x:v>
      </x:c>
      <x:c r="D95" s="10" t="str">
        <x:v>Named investor / firm principal</x:v>
      </x:c>
      <x:c r="E95" s="12" t="str">
        <x:v>1 (734) 926-5221</x:v>
      </x:c>
      <x:c r="F95" s="12" t="str">
        <x:v>info@elabvc.com</x:v>
      </x:c>
      <x:c r="G95" s="10" t="str">
        <x:v>published_firm_mainline</x:v>
      </x:c>
      <x:c r="H95" s="10" t="str">
        <x:v>published_firm_inbox_routing</x:v>
      </x:c>
      <x:c r="I95" s="10" t="str">
        <x:v>not_published_on_reviewed_current_sources</x:v>
      </x:c>
      <x:c r="J95" s="11"/>
      <x:c r="K95" s="11"/>
      <x:c r="L95" s="10" t="str">
        <x:v>Ann Arbor, MI</x:v>
      </x:c>
      <x:c r="M95" s="10" t="str">
        <x:v>Managing Director</x:v>
      </x:c>
      <x:c r="N95" s="10" t="str">
        <x:v>Conditional research prospect</x:v>
      </x:c>
      <x:c r="O95" s="13" t="str">
        <x:v>new</x:v>
      </x:c>
      <x:c r="P95" s="13" t="str"/>
      <x:c r="Q95" s="10" t="str">
        <x:v>Not contacted / unconfirmed</x:v>
      </x:c>
      <x:c r="R95" s="10" t="str">
        <x:v>unverified</x:v>
      </x:c>
      <x:c r="S95" s="10" t="str">
        <x:v>2026-09-30</x:v>
      </x:c>
      <x:c r="T95" s="10" t="str">
        <x:v>https://www.elabvc.com/team</x:v>
      </x:c>
      <x:c r="U95" s="10" t="str">
        <x:v>55e8a9692ffd0f</x:v>
      </x:c>
    </x:row>
    <x:row r="96" ht="55" customHeight="1">
      <x:c r="A96" s="10" t="str">
        <x:v>86560001ef0488</x:v>
      </x:c>
      <x:c r="B96" s="10" t="str">
        <x:v>eLab Ventures</x:v>
      </x:c>
      <x:c r="C96" s="10" t="str">
        <x:v>Paul Brown</x:v>
      </x:c>
      <x:c r="D96" s="10" t="str">
        <x:v>Named investor / firm principal</x:v>
      </x:c>
      <x:c r="E96" s="12" t="str">
        <x:v>1 (734) 926-5221</x:v>
      </x:c>
      <x:c r="F96" s="12" t="str">
        <x:v>info@elabvc.com</x:v>
      </x:c>
      <x:c r="G96" s="10" t="str">
        <x:v>published_firm_mainline</x:v>
      </x:c>
      <x:c r="H96" s="10" t="str">
        <x:v>published_firm_inbox_routing</x:v>
      </x:c>
      <x:c r="I96" s="10" t="str">
        <x:v>not_published_on_reviewed_current_sources</x:v>
      </x:c>
      <x:c r="J96" s="11"/>
      <x:c r="K96" s="11"/>
      <x:c r="L96" s="10" t="str">
        <x:v>Ann Arbor, MI</x:v>
      </x:c>
      <x:c r="M96" s="10" t="str">
        <x:v>Managing Director</x:v>
      </x:c>
      <x:c r="N96" s="10" t="str">
        <x:v>Conditional research prospect</x:v>
      </x:c>
      <x:c r="O96" s="13" t="str">
        <x:v>new</x:v>
      </x:c>
      <x:c r="P96" s="13" t="str"/>
      <x:c r="Q96" s="10" t="str">
        <x:v>Not contacted / unconfirmed</x:v>
      </x:c>
      <x:c r="R96" s="10" t="str">
        <x:v>unverified</x:v>
      </x:c>
      <x:c r="S96" s="10" t="str">
        <x:v>2026-09-30</x:v>
      </x:c>
      <x:c r="T96" s="10" t="str">
        <x:v>https://www.elabvc.com/team</x:v>
      </x:c>
      <x:c r="U96" s="10" t="str">
        <x:v>55e8a9692ffd0f</x:v>
      </x:c>
    </x:row>
    <x:row r="97" ht="55" customHeight="1">
      <x:c r="A97" s="10" t="str">
        <x:v>a6d85d6af74c21</x:v>
      </x:c>
      <x:c r="B97" s="10" t="str">
        <x:v>Grand Ventures</x:v>
      </x:c>
      <x:c r="C97" s="10" t="str">
        <x:v>Nathan Owen</x:v>
      </x:c>
      <x:c r="D97" s="10" t="str">
        <x:v>Named investor / firm principal</x:v>
      </x:c>
      <x:c r="E97" s="12" t="str">
        <x:v>1 (616) 780-1133</x:v>
      </x:c>
      <x:c r="F97" s="12" t="str">
        <x:v>info@grandvcp.com</x:v>
      </x:c>
      <x:c r="G97" s="10" t="str">
        <x:v>Published SEC business-office routing number</x:v>
      </x:c>
      <x:c r="H97" s="10" t="str">
        <x:v>published_firm_inbox_routing</x:v>
      </x:c>
      <x:c r="I97" s="10" t="str">
        <x:v>not_published_on_reviewed_current_sources</x:v>
      </x:c>
      <x:c r="J97" s="11"/>
      <x:c r="K97" s="11"/>
      <x:c r="L97" s="10" t="str">
        <x:v>Grand Rapids, MI</x:v>
      </x:c>
      <x:c r="M97" s="10" t="str">
        <x:v>General Partner</x:v>
      </x:c>
      <x:c r="N97" s="10" t="str">
        <x:v>Conditional research prospect</x:v>
      </x:c>
      <x:c r="O97" s="13" t="str">
        <x:v>new</x:v>
      </x:c>
      <x:c r="P97" s="13" t="str"/>
      <x:c r="Q97" s="10" t="str">
        <x:v>Not contacted / unconfirmed</x:v>
      </x:c>
      <x:c r="R97" s="10" t="str">
        <x:v>unverified</x:v>
      </x:c>
      <x:c r="S97" s="10" t="str">
        <x:v>2026-09-30</x:v>
      </x:c>
      <x:c r="T97" s="10" t="str">
        <x:v>https://grandvcp.com/the-team/</x:v>
      </x:c>
      <x:c r="U97" s="10" t="str">
        <x:v>ba19dc74b55a2c</x:v>
      </x:c>
    </x:row>
    <x:row r="98" ht="55" customHeight="1">
      <x:c r="A98" s="10" t="str">
        <x:v>b0005e1b7072b1</x:v>
      </x:c>
      <x:c r="B98" s="10" t="str">
        <x:v>Grand Ventures</x:v>
      </x:c>
      <x:c r="C98" s="10" t="str">
        <x:v>Tim Streit</x:v>
      </x:c>
      <x:c r="D98" s="10" t="str">
        <x:v>Named investor / firm principal</x:v>
      </x:c>
      <x:c r="E98" s="12" t="str">
        <x:v>1 (616) 780-1133</x:v>
      </x:c>
      <x:c r="F98" s="12" t="str">
        <x:v>info@grandvcp.com</x:v>
      </x:c>
      <x:c r="G98" s="10" t="str">
        <x:v>Published SEC business-office routing number</x:v>
      </x:c>
      <x:c r="H98" s="10" t="str">
        <x:v>published_firm_inbox_routing</x:v>
      </x:c>
      <x:c r="I98" s="10" t="str">
        <x:v>not_published_on_reviewed_current_sources</x:v>
      </x:c>
      <x:c r="J98" s="11"/>
      <x:c r="K98" s="11"/>
      <x:c r="L98" s="10" t="str">
        <x:v>Grand Rapids, MI</x:v>
      </x:c>
      <x:c r="M98" s="10" t="str">
        <x:v>General Partner and Co-Founder</x:v>
      </x:c>
      <x:c r="N98" s="10" t="str">
        <x:v>Conditional research prospect</x:v>
      </x:c>
      <x:c r="O98" s="13" t="str">
        <x:v>new</x:v>
      </x:c>
      <x:c r="P98" s="13" t="str"/>
      <x:c r="Q98" s="10" t="str">
        <x:v>Not contacted / unconfirmed</x:v>
      </x:c>
      <x:c r="R98" s="10" t="str">
        <x:v>unverified</x:v>
      </x:c>
      <x:c r="S98" s="10" t="str">
        <x:v>2026-09-30</x:v>
      </x:c>
      <x:c r="T98" s="10" t="str">
        <x:v>https://grandvcp.com/the-team/</x:v>
      </x:c>
      <x:c r="U98" s="10" t="str">
        <x:v>ba19dc74b55a2c</x:v>
      </x:c>
    </x:row>
    <x:row r="99" ht="55" customHeight="1">
      <x:c r="A99" s="10" t="str">
        <x:v>9678f83d88bf99</x:v>
      </x:c>
      <x:c r="B99" s="10" t="str">
        <x:v>Horowitz Group</x:v>
      </x:c>
      <x:c r="C99" s="10" t="str">
        <x:v>Adam Horowitz</x:v>
      </x:c>
      <x:c r="D99" s="10" t="str">
        <x:v>Named investor / firm principal</x:v>
      </x:c>
      <x:c r="E99" s="12" t="str">
        <x:v>1 (949) 831-5158</x:v>
      </x:c>
      <x:c r="F99" s="12" t="str">
        <x:v>info@horowitzgroup.com</x:v>
      </x:c>
      <x:c r="G99" s="10" t="str">
        <x:v>published_firm_mainline</x:v>
      </x:c>
      <x:c r="H99" s="10" t="str">
        <x:v>published_firm_inbox_routing</x:v>
      </x:c>
      <x:c r="I99" s="10" t="str">
        <x:v>not_published_on_reviewed_current_sources</x:v>
      </x:c>
      <x:c r="J99" s="11"/>
      <x:c r="K99" s="11"/>
      <x:c r="L99" s="10" t="str">
        <x:v>Newport Beach, CA</x:v>
      </x:c>
      <x:c r="M99" s="10" t="str">
        <x:v>Chief Executive Officer</x:v>
      </x:c>
      <x:c r="N99" s="10" t="str">
        <x:v>Conditional research prospect</x:v>
      </x:c>
      <x:c r="O99" s="13" t="str">
        <x:v>new</x:v>
      </x:c>
      <x:c r="P99" s="13" t="str"/>
      <x:c r="Q99" s="10" t="str">
        <x:v>Not contacted / unconfirmed</x:v>
      </x:c>
      <x:c r="R99" s="10" t="str">
        <x:v>unverified</x:v>
      </x:c>
      <x:c r="S99" s="10" t="str">
        <x:v>2026-09-30</x:v>
      </x:c>
      <x:c r="T99" s="10" t="str">
        <x:v>https://horowitzgroup.com/</x:v>
      </x:c>
      <x:c r="U99" s="10" t="str">
        <x:v>2c4d27308b1081</x:v>
      </x:c>
    </x:row>
    <x:row r="100" ht="55" customHeight="1">
      <x:c r="A100" s="10" t="str">
        <x:v>e9bc00f19689b7</x:v>
      </x:c>
      <x:c r="B100" s="10" t="str">
        <x:v>Horowitz Group</x:v>
      </x:c>
      <x:c r="C100" s="10" t="str">
        <x:v>Matt Cornue</x:v>
      </x:c>
      <x:c r="D100" s="10" t="str">
        <x:v>Named investor / firm principal</x:v>
      </x:c>
      <x:c r="E100" s="12" t="str">
        <x:v>1 (949) 831-5158</x:v>
      </x:c>
      <x:c r="F100" s="12" t="str">
        <x:v>info@horowitzgroup.com</x:v>
      </x:c>
      <x:c r="G100" s="10" t="str">
        <x:v>published_firm_mainline</x:v>
      </x:c>
      <x:c r="H100" s="10" t="str">
        <x:v>published_firm_inbox_routing</x:v>
      </x:c>
      <x:c r="I100" s="10" t="str">
        <x:v>not_published_on_reviewed_current_sources</x:v>
      </x:c>
      <x:c r="J100" s="11"/>
      <x:c r="K100" s="11"/>
      <x:c r="L100" s="10" t="str">
        <x:v>Newport Beach, CA</x:v>
      </x:c>
      <x:c r="M100" s="10" t="str">
        <x:v>Chief Investment Officer</x:v>
      </x:c>
      <x:c r="N100" s="10" t="str">
        <x:v>Conditional research prospect</x:v>
      </x:c>
      <x:c r="O100" s="13" t="str">
        <x:v>new</x:v>
      </x:c>
      <x:c r="P100" s="13" t="str"/>
      <x:c r="Q100" s="10" t="str">
        <x:v>Not contacted / unconfirmed</x:v>
      </x:c>
      <x:c r="R100" s="10" t="str">
        <x:v>unverified</x:v>
      </x:c>
      <x:c r="S100" s="10" t="str">
        <x:v>2026-09-30</x:v>
      </x:c>
      <x:c r="T100" s="10" t="str">
        <x:v>https://horowitzgroup.com/</x:v>
      </x:c>
      <x:c r="U100" s="10" t="str">
        <x:v>2c4d27308b1081</x:v>
      </x:c>
    </x:row>
    <x:row r="101" ht="55" customHeight="1">
      <x:c r="A101" s="10" t="str">
        <x:v>2f9a6cb9531448</x:v>
      </x:c>
      <x:c r="B101" s="10" t="str">
        <x:v>Mercury Fund</x:v>
      </x:c>
      <x:c r="C101" s="10" t="str">
        <x:v>Adrian Fortino</x:v>
      </x:c>
      <x:c r="D101" s="10" t="str">
        <x:v>Named investor / firm principal</x:v>
      </x:c>
      <x:c r="E101" s="12" t="str">
        <x:v>1 (713) 715-6820</x:v>
      </x:c>
      <x:c r="F101" s="12" t="str">
        <x:v>info@mercuryfund.com</x:v>
      </x:c>
      <x:c r="G101" s="10" t="str">
        <x:v>published_firm_mainline</x:v>
      </x:c>
      <x:c r="H101" s="10" t="str">
        <x:v>published_firm_inbox_routing</x:v>
      </x:c>
      <x:c r="I101" s="10" t="str">
        <x:v>not_published_on_reviewed_current_sources</x:v>
      </x:c>
      <x:c r="J101" s="11"/>
      <x:c r="K101" s="11"/>
      <x:c r="L101" s="10" t="str">
        <x:v>Houston / Austin, TX; Midwest for Adrian Fortino</x:v>
      </x:c>
      <x:c r="M101" s="10" t="str">
        <x:v>Partner</x:v>
      </x:c>
      <x:c r="N101" s="10" t="str">
        <x:v>Conditional research prospect</x:v>
      </x:c>
      <x:c r="O101" s="13" t="str">
        <x:v>new</x:v>
      </x:c>
      <x:c r="P101" s="13" t="str"/>
      <x:c r="Q101" s="10" t="str">
        <x:v>Not contacted / unconfirmed</x:v>
      </x:c>
      <x:c r="R101" s="10" t="str">
        <x:v>unverified</x:v>
      </x:c>
      <x:c r="S101" s="10" t="str">
        <x:v>2026-09-30</x:v>
      </x:c>
      <x:c r="T101" s="10" t="str">
        <x:v>https://www.mercuryfund.com/team</x:v>
      </x:c>
      <x:c r="U101" s="10" t="str">
        <x:v>ae27a3b768d22b</x:v>
      </x:c>
    </x:row>
    <x:row r="102" ht="55" customHeight="1">
      <x:c r="A102" s="10" t="str">
        <x:v>5e263a40bfb065</x:v>
      </x:c>
      <x:c r="B102" s="10" t="str">
        <x:v>Mercury Fund</x:v>
      </x:c>
      <x:c r="C102" s="10" t="str">
        <x:v>Aziz Gilani</x:v>
      </x:c>
      <x:c r="D102" s="10" t="str">
        <x:v>Named investor / firm principal</x:v>
      </x:c>
      <x:c r="E102" s="12" t="str">
        <x:v>1 (713) 715-6820</x:v>
      </x:c>
      <x:c r="F102" s="12" t="str">
        <x:v>info@mercuryfund.com</x:v>
      </x:c>
      <x:c r="G102" s="10" t="str">
        <x:v>published_firm_mainline</x:v>
      </x:c>
      <x:c r="H102" s="10" t="str">
        <x:v>published_firm_inbox_routing</x:v>
      </x:c>
      <x:c r="I102" s="10" t="str">
        <x:v>not_published_on_reviewed_current_sources</x:v>
      </x:c>
      <x:c r="J102" s="11"/>
      <x:c r="K102" s="11"/>
      <x:c r="L102" s="10" t="str">
        <x:v>Houston / Austin, TX; Midwest for Adrian Fortino</x:v>
      </x:c>
      <x:c r="M102" s="10" t="str">
        <x:v>Partner</x:v>
      </x:c>
      <x:c r="N102" s="10" t="str">
        <x:v>Conditional research prospect</x:v>
      </x:c>
      <x:c r="O102" s="13" t="str">
        <x:v>new</x:v>
      </x:c>
      <x:c r="P102" s="13" t="str"/>
      <x:c r="Q102" s="10" t="str">
        <x:v>Not contacted / unconfirmed</x:v>
      </x:c>
      <x:c r="R102" s="10" t="str">
        <x:v>unverified</x:v>
      </x:c>
      <x:c r="S102" s="10" t="str">
        <x:v>2026-09-30</x:v>
      </x:c>
      <x:c r="T102" s="10" t="str">
        <x:v>https://www.mercuryfund.com/team</x:v>
      </x:c>
      <x:c r="U102" s="10" t="str">
        <x:v>ae27a3b768d22b</x:v>
      </x:c>
    </x:row>
    <x:row r="103" ht="55" customHeight="1">
      <x:c r="A103" s="10" t="str">
        <x:v>646a6d5025f0c9</x:v>
      </x:c>
      <x:c r="B103" s="10" t="str">
        <x:v>Mercury Fund</x:v>
      </x:c>
      <x:c r="C103" s="10" t="str">
        <x:v>Blair Garrou</x:v>
      </x:c>
      <x:c r="D103" s="10" t="str">
        <x:v>Named investor / firm principal</x:v>
      </x:c>
      <x:c r="E103" s="12" t="str">
        <x:v>1 (713) 715-6820</x:v>
      </x:c>
      <x:c r="F103" s="12" t="str">
        <x:v>info@mercuryfund.com</x:v>
      </x:c>
      <x:c r="G103" s="10" t="str">
        <x:v>published_firm_mainline</x:v>
      </x:c>
      <x:c r="H103" s="10" t="str">
        <x:v>published_firm_inbox_routing</x:v>
      </x:c>
      <x:c r="I103" s="10" t="str">
        <x:v>not_published_on_reviewed_current_sources</x:v>
      </x:c>
      <x:c r="J103" s="11"/>
      <x:c r="K103" s="11"/>
      <x:c r="L103" s="10" t="str">
        <x:v>Houston / Austin, TX; Midwest for Adrian Fortino</x:v>
      </x:c>
      <x:c r="M103" s="10" t="str">
        <x:v>Managing Partner</x:v>
      </x:c>
      <x:c r="N103" s="10" t="str">
        <x:v>Conditional research prospect</x:v>
      </x:c>
      <x:c r="O103" s="13" t="str">
        <x:v>new</x:v>
      </x:c>
      <x:c r="P103" s="13" t="str"/>
      <x:c r="Q103" s="10" t="str">
        <x:v>Not contacted / unconfirmed</x:v>
      </x:c>
      <x:c r="R103" s="10" t="str">
        <x:v>unverified</x:v>
      </x:c>
      <x:c r="S103" s="10" t="str">
        <x:v>2026-09-30</x:v>
      </x:c>
      <x:c r="T103" s="10" t="str">
        <x:v>https://www.mercuryfund.com/team</x:v>
      </x:c>
      <x:c r="U103" s="10" t="str">
        <x:v>ae27a3b768d22b</x:v>
      </x:c>
    </x:row>
    <x:row r="104" ht="55" customHeight="1">
      <x:c r="A104" s="10" t="str">
        <x:v>148e4a1a8611ec</x:v>
      </x:c>
      <x:c r="B104" s="10" t="str">
        <x:v>Mercury Fund</x:v>
      </x:c>
      <x:c r="C104" s="10" t="str">
        <x:v>Samantha Lewis</x:v>
      </x:c>
      <x:c r="D104" s="10" t="str">
        <x:v>Named investor / firm principal</x:v>
      </x:c>
      <x:c r="E104" s="12" t="str">
        <x:v>1 (713) 715-6820</x:v>
      </x:c>
      <x:c r="F104" s="12" t="str">
        <x:v>info@mercuryfund.com</x:v>
      </x:c>
      <x:c r="G104" s="10" t="str">
        <x:v>published_firm_mainline</x:v>
      </x:c>
      <x:c r="H104" s="10" t="str">
        <x:v>published_firm_inbox_routing</x:v>
      </x:c>
      <x:c r="I104" s="10" t="str">
        <x:v>not_published_on_reviewed_current_sources</x:v>
      </x:c>
      <x:c r="J104" s="11"/>
      <x:c r="K104" s="11"/>
      <x:c r="L104" s="10" t="str">
        <x:v>Houston / Austin, TX; Midwest for Adrian Fortino</x:v>
      </x:c>
      <x:c r="M104" s="10" t="str">
        <x:v>Partner</x:v>
      </x:c>
      <x:c r="N104" s="10" t="str">
        <x:v>Conditional research prospect</x:v>
      </x:c>
      <x:c r="O104" s="13" t="str">
        <x:v>new</x:v>
      </x:c>
      <x:c r="P104" s="13" t="str"/>
      <x:c r="Q104" s="10" t="str">
        <x:v>Not contacted / unconfirmed</x:v>
      </x:c>
      <x:c r="R104" s="10" t="str">
        <x:v>unverified</x:v>
      </x:c>
      <x:c r="S104" s="10" t="str">
        <x:v>2026-09-30</x:v>
      </x:c>
      <x:c r="T104" s="10" t="str">
        <x:v>https://www.mercuryfund.com/team</x:v>
      </x:c>
      <x:c r="U104" s="10" t="str">
        <x:v>ae27a3b768d22b</x:v>
      </x:c>
    </x:row>
    <x:row r="105" ht="55" customHeight="1">
      <x:c r="A105" s="10" t="str">
        <x:v>93686d8adb0527</x:v>
      </x:c>
      <x:c r="B105" s="10" t="str">
        <x:v>MetaProp</x:v>
      </x:c>
      <x:c r="C105" s="10" t="str">
        <x:v>Aaron Block</x:v>
      </x:c>
      <x:c r="D105" s="10" t="str">
        <x:v>Named investor / firm principal</x:v>
      </x:c>
      <x:c r="E105" s="12" t="str">
        <x:v>1 (646) 504-4482</x:v>
      </x:c>
      <x:c r="F105" s="12" t="str">
        <x:v>info@metaprop.com</x:v>
      </x:c>
      <x:c r="G105" s="10" t="str">
        <x:v>Published SEC business-office routing number</x:v>
      </x:c>
      <x:c r="H105" s="10" t="str">
        <x:v>published_firm_inbox_routing</x:v>
      </x:c>
      <x:c r="I105" s="10" t="str">
        <x:v>not_published_on_reviewed_current_sources</x:v>
      </x:c>
      <x:c r="J105" s="11"/>
      <x:c r="K105" s="11"/>
      <x:c r="L105" s="10" t="str">
        <x:v>New York, NY</x:v>
      </x:c>
      <x:c r="M105" s="10" t="str">
        <x:v>Co-Founder and Managing Partner</x:v>
      </x:c>
      <x:c r="N105" s="10" t="str">
        <x:v>Conditional research prospect</x:v>
      </x:c>
      <x:c r="O105" s="13" t="str">
        <x:v>new</x:v>
      </x:c>
      <x:c r="P105" s="13" t="str"/>
      <x:c r="Q105" s="10" t="str">
        <x:v>Not contacted / unconfirmed</x:v>
      </x:c>
      <x:c r="R105" s="10" t="str">
        <x:v>unverified</x:v>
      </x:c>
      <x:c r="S105" s="10" t="str">
        <x:v>2026-09-30</x:v>
      </x:c>
      <x:c r="T105" s="10" t="str">
        <x:v>https://www.metaprop.com/about</x:v>
      </x:c>
      <x:c r="U105" s="10" t="str">
        <x:v>4fcea284505ad6</x:v>
      </x:c>
    </x:row>
    <x:row r="106" ht="55" customHeight="1">
      <x:c r="A106" s="10" t="str">
        <x:v>9f238fffe3dea9</x:v>
      </x:c>
      <x:c r="B106" s="10" t="str">
        <x:v>MetaProp</x:v>
      </x:c>
      <x:c r="C106" s="10" t="str">
        <x:v>Zach Aarons</x:v>
      </x:c>
      <x:c r="D106" s="10" t="str">
        <x:v>Named investor / firm principal</x:v>
      </x:c>
      <x:c r="E106" s="12" t="str">
        <x:v>1 (646) 504-4482</x:v>
      </x:c>
      <x:c r="F106" s="12" t="str">
        <x:v>info@metaprop.com</x:v>
      </x:c>
      <x:c r="G106" s="10" t="str">
        <x:v>Published SEC business-office routing number</x:v>
      </x:c>
      <x:c r="H106" s="10" t="str">
        <x:v>published_firm_inbox_routing</x:v>
      </x:c>
      <x:c r="I106" s="10" t="str">
        <x:v>not_published_on_reviewed_current_sources</x:v>
      </x:c>
      <x:c r="J106" s="11"/>
      <x:c r="K106" s="11"/>
      <x:c r="L106" s="10" t="str">
        <x:v>New York, NY</x:v>
      </x:c>
      <x:c r="M106" s="10" t="str">
        <x:v>Co-Founder and General Partner</x:v>
      </x:c>
      <x:c r="N106" s="10" t="str">
        <x:v>Conditional research prospect</x:v>
      </x:c>
      <x:c r="O106" s="13" t="str">
        <x:v>new</x:v>
      </x:c>
      <x:c r="P106" s="13" t="str"/>
      <x:c r="Q106" s="10" t="str">
        <x:v>Not contacted / unconfirmed</x:v>
      </x:c>
      <x:c r="R106" s="10" t="str">
        <x:v>unverified</x:v>
      </x:c>
      <x:c r="S106" s="10" t="str">
        <x:v>2026-09-30</x:v>
      </x:c>
      <x:c r="T106" s="10" t="str">
        <x:v>https://www.metaprop.com/about</x:v>
      </x:c>
      <x:c r="U106" s="10" t="str">
        <x:v>4fcea284505ad6</x:v>
      </x:c>
    </x:row>
    <x:row r="107" ht="55" customHeight="1">
      <x:c r="A107" s="10" t="str">
        <x:v>d0d33b0a5d607f</x:v>
      </x:c>
      <x:c r="B107" s="10" t="str">
        <x:v>MetaProp</x:v>
      </x:c>
      <x:c r="C107" s="10" t="str">
        <x:v>Zak Schwarzman</x:v>
      </x:c>
      <x:c r="D107" s="10" t="str">
        <x:v>Named investor / firm principal</x:v>
      </x:c>
      <x:c r="E107" s="12" t="str">
        <x:v>1 (646) 504-4482</x:v>
      </x:c>
      <x:c r="F107" s="12" t="str">
        <x:v>info@metaprop.com</x:v>
      </x:c>
      <x:c r="G107" s="10" t="str">
        <x:v>Published SEC business-office routing number</x:v>
      </x:c>
      <x:c r="H107" s="10" t="str">
        <x:v>published_firm_inbox_routing</x:v>
      </x:c>
      <x:c r="I107" s="10" t="str">
        <x:v>not_published_on_reviewed_current_sources</x:v>
      </x:c>
      <x:c r="J107" s="11"/>
      <x:c r="K107" s="11"/>
      <x:c r="L107" s="10" t="str">
        <x:v>New York, NY</x:v>
      </x:c>
      <x:c r="M107" s="10" t="str">
        <x:v>General Partner</x:v>
      </x:c>
      <x:c r="N107" s="10" t="str">
        <x:v>Conditional research prospect</x:v>
      </x:c>
      <x:c r="O107" s="13" t="str">
        <x:v>new</x:v>
      </x:c>
      <x:c r="P107" s="13" t="str"/>
      <x:c r="Q107" s="10" t="str">
        <x:v>Not contacted / unconfirmed</x:v>
      </x:c>
      <x:c r="R107" s="10" t="str">
        <x:v>unverified</x:v>
      </x:c>
      <x:c r="S107" s="10" t="str">
        <x:v>2026-09-30</x:v>
      </x:c>
      <x:c r="T107" s="10" t="str">
        <x:v>https://www.metaprop.com/about</x:v>
      </x:c>
      <x:c r="U107" s="10" t="str">
        <x:v>4fcea284505ad6</x:v>
      </x:c>
    </x:row>
    <x:row r="108" ht="55" customHeight="1">
      <x:c r="A108" s="10" t="str">
        <x:v>3b81da51533d47</x:v>
      </x:c>
      <x:c r="B108" s="10" t="str">
        <x:v>Moderne Ventures</x:v>
      </x:c>
      <x:c r="C108" s="10" t="str">
        <x:v>Constance Freedman</x:v>
      </x:c>
      <x:c r="D108" s="10" t="str">
        <x:v>Named investor / firm principal</x:v>
      </x:c>
      <x:c r="E108" s="12" t="str">
        <x:v>1 (617) 308-3191</x:v>
      </x:c>
      <x:c r="F108" s="12" t="str">
        <x:v>deals@moderneventures.com</x:v>
      </x:c>
      <x:c r="G108" s="10" t="str">
        <x:v>Published SEC business-office routing number</x:v>
      </x:c>
      <x:c r="H108" s="10" t="str">
        <x:v>published_firm_inbox_routing</x:v>
      </x:c>
      <x:c r="I108" s="10" t="str">
        <x:v>not_published_on_reviewed_current_sources</x:v>
      </x:c>
      <x:c r="J108" s="11"/>
      <x:c r="K108" s="11"/>
      <x:c r="L108" s="10" t="str">
        <x:v>Chicago, IL</x:v>
      </x:c>
      <x:c r="M108" s="10" t="str">
        <x:v>Founder and Managing Partner</x:v>
      </x:c>
      <x:c r="N108" s="10" t="str">
        <x:v>Conditional research prospect</x:v>
      </x:c>
      <x:c r="O108" s="13" t="str">
        <x:v>new</x:v>
      </x:c>
      <x:c r="P108" s="13" t="str"/>
      <x:c r="Q108" s="10" t="str">
        <x:v>Not contacted / unconfirmed</x:v>
      </x:c>
      <x:c r="R108" s="10" t="str">
        <x:v>unverified</x:v>
      </x:c>
      <x:c r="S108" s="10" t="str">
        <x:v>2026-09-30</x:v>
      </x:c>
      <x:c r="T108" s="10" t="str">
        <x:v>https://www.moderneventures.com/team</x:v>
      </x:c>
      <x:c r="U108" s="10" t="str">
        <x:v>eae6e5b82e04c6</x:v>
      </x:c>
    </x:row>
    <x:row r="109" ht="55" customHeight="1">
      <x:c r="A109" s="10" t="str">
        <x:v>7fe4ead558709e</x:v>
      </x:c>
      <x:c r="B109" s="10" t="str">
        <x:v>Moderne Ventures</x:v>
      </x:c>
      <x:c r="C109" s="10" t="str">
        <x:v>Lindsay Hyde</x:v>
      </x:c>
      <x:c r="D109" s="10" t="str">
        <x:v>Named investor / firm principal</x:v>
      </x:c>
      <x:c r="E109" s="12" t="str">
        <x:v>1 (617) 308-3191</x:v>
      </x:c>
      <x:c r="F109" s="12" t="str">
        <x:v>deals@moderneventures.com</x:v>
      </x:c>
      <x:c r="G109" s="10" t="str">
        <x:v>Published SEC business-office routing number</x:v>
      </x:c>
      <x:c r="H109" s="10" t="str">
        <x:v>published_firm_inbox_routing</x:v>
      </x:c>
      <x:c r="I109" s="10" t="str">
        <x:v>not_published_on_reviewed_current_sources</x:v>
      </x:c>
      <x:c r="J109" s="11"/>
      <x:c r="K109" s="11"/>
      <x:c r="L109" s="10" t="str">
        <x:v>Chicago, IL</x:v>
      </x:c>
      <x:c r="M109" s="10" t="str">
        <x:v>Operating Partner</x:v>
      </x:c>
      <x:c r="N109" s="10" t="str">
        <x:v>Conditional research prospect</x:v>
      </x:c>
      <x:c r="O109" s="13" t="str">
        <x:v>new</x:v>
      </x:c>
      <x:c r="P109" s="13" t="str"/>
      <x:c r="Q109" s="10" t="str">
        <x:v>Not contacted / unconfirmed</x:v>
      </x:c>
      <x:c r="R109" s="10" t="str">
        <x:v>unverified</x:v>
      </x:c>
      <x:c r="S109" s="10" t="str">
        <x:v>2026-09-30</x:v>
      </x:c>
      <x:c r="T109" s="10" t="str">
        <x:v>https://www.moderneventures.com/team</x:v>
      </x:c>
      <x:c r="U109" s="10" t="str">
        <x:v>eae6e5b82e04c6</x:v>
      </x:c>
    </x:row>
    <x:row r="110" ht="55" customHeight="1">
      <x:c r="A110" s="10" t="str">
        <x:v>c18d028c5208ac</x:v>
      </x:c>
      <x:c r="B110" s="10" t="str">
        <x:v>Moderne Ventures</x:v>
      </x:c>
      <x:c r="C110" s="10" t="str">
        <x:v>Liza Benson</x:v>
      </x:c>
      <x:c r="D110" s="10" t="str">
        <x:v>Named investor / firm principal</x:v>
      </x:c>
      <x:c r="E110" s="12" t="str">
        <x:v>1 (617) 308-3191</x:v>
      </x:c>
      <x:c r="F110" s="12" t="str">
        <x:v>deals@moderneventures.com</x:v>
      </x:c>
      <x:c r="G110" s="10" t="str">
        <x:v>Published SEC business-office routing number</x:v>
      </x:c>
      <x:c r="H110" s="10" t="str">
        <x:v>published_firm_inbox_routing</x:v>
      </x:c>
      <x:c r="I110" s="10" t="str">
        <x:v>not_published_on_reviewed_current_sources</x:v>
      </x:c>
      <x:c r="J110" s="11"/>
      <x:c r="K110" s="11"/>
      <x:c r="L110" s="10" t="str">
        <x:v>Chicago, IL</x:v>
      </x:c>
      <x:c r="M110" s="10" t="str">
        <x:v>Partner</x:v>
      </x:c>
      <x:c r="N110" s="10" t="str">
        <x:v>Conditional research prospect</x:v>
      </x:c>
      <x:c r="O110" s="13" t="str">
        <x:v>new</x:v>
      </x:c>
      <x:c r="P110" s="13" t="str"/>
      <x:c r="Q110" s="10" t="str">
        <x:v>Not contacted / unconfirmed</x:v>
      </x:c>
      <x:c r="R110" s="10" t="str">
        <x:v>unverified</x:v>
      </x:c>
      <x:c r="S110" s="10" t="str">
        <x:v>2026-09-30</x:v>
      </x:c>
      <x:c r="T110" s="10" t="str">
        <x:v>https://www.moderneventures.com/team</x:v>
      </x:c>
      <x:c r="U110" s="10" t="str">
        <x:v>eae6e5b82e04c6</x:v>
      </x:c>
    </x:row>
    <x:row r="111" ht="55" customHeight="1">
      <x:c r="A111" s="10" t="str">
        <x:v>ca9a32245e1fef</x:v>
      </x:c>
      <x:c r="B111" s="10" t="str">
        <x:v>Moderne Ventures</x:v>
      </x:c>
      <x:c r="C111" s="10" t="str">
        <x:v>Seth Corder</x:v>
      </x:c>
      <x:c r="D111" s="10" t="str">
        <x:v>Named investor / firm principal</x:v>
      </x:c>
      <x:c r="E111" s="12" t="str">
        <x:v>1 (617) 308-3191</x:v>
      </x:c>
      <x:c r="F111" s="12" t="str">
        <x:v>deals@moderneventures.com</x:v>
      </x:c>
      <x:c r="G111" s="10" t="str">
        <x:v>Published SEC business-office routing number</x:v>
      </x:c>
      <x:c r="H111" s="10" t="str">
        <x:v>published_firm_inbox_routing</x:v>
      </x:c>
      <x:c r="I111" s="10" t="str">
        <x:v>not_published_on_reviewed_current_sources</x:v>
      </x:c>
      <x:c r="J111" s="11"/>
      <x:c r="K111" s="11"/>
      <x:c r="L111" s="10" t="str">
        <x:v>Chicago, IL</x:v>
      </x:c>
      <x:c r="M111" s="10" t="str">
        <x:v>Managing Director</x:v>
      </x:c>
      <x:c r="N111" s="10" t="str">
        <x:v>Conditional research prospect</x:v>
      </x:c>
      <x:c r="O111" s="13" t="str">
        <x:v>new</x:v>
      </x:c>
      <x:c r="P111" s="13" t="str"/>
      <x:c r="Q111" s="10" t="str">
        <x:v>Not contacted / unconfirmed</x:v>
      </x:c>
      <x:c r="R111" s="10" t="str">
        <x:v>unverified</x:v>
      </x:c>
      <x:c r="S111" s="10" t="str">
        <x:v>2026-09-30</x:v>
      </x:c>
      <x:c r="T111" s="10" t="str">
        <x:v>https://www.moderneventures.com/team</x:v>
      </x:c>
      <x:c r="U111" s="10" t="str">
        <x:v>eae6e5b82e04c6</x:v>
      </x:c>
    </x:row>
    <x:row r="112" ht="55" customHeight="1">
      <x:c r="A112" s="10" t="str">
        <x:v>8c937e627267b8</x:v>
      </x:c>
      <x:c r="B112" s="10" t="str">
        <x:v>Pasadena Capital Partners</x:v>
      </x:c>
      <x:c r="C112" s="10" t="str">
        <x:v>Gregory J. Annick</x:v>
      </x:c>
      <x:c r="D112" s="10" t="str">
        <x:v>Named investor / firm principal</x:v>
      </x:c>
      <x:c r="E112" s="12" t="str">
        <x:v>1 (626) 432-7470</x:v>
      </x:c>
      <x:c r="F112" s="12" t="str">
        <x:v>annick@pasadenacapital.com</x:v>
      </x:c>
      <x:c r="G112" s="10" t="str">
        <x:v>published_firm_mainline</x:v>
      </x:c>
      <x:c r="H112" s="10" t="str">
        <x:v>named_published_professional_email</x:v>
      </x:c>
      <x:c r="I112" s="10" t="str">
        <x:v>not_published_on_reviewed_current_sources</x:v>
      </x:c>
      <x:c r="J112" s="11"/>
      <x:c r="K112" s="11"/>
      <x:c r="L112" s="10" t="str">
        <x:v>Pasadena, CA</x:v>
      </x:c>
      <x:c r="M112" s="10" t="str">
        <x:v>President and Senior Managing Director</x:v>
      </x:c>
      <x:c r="N112" s="10" t="str">
        <x:v>Conditional research prospect</x:v>
      </x:c>
      <x:c r="O112" s="13" t="str">
        <x:v>new</x:v>
      </x:c>
      <x:c r="P112" s="13" t="str"/>
      <x:c r="Q112" s="10" t="str">
        <x:v>Not contacted / unconfirmed</x:v>
      </x:c>
      <x:c r="R112" s="10" t="str">
        <x:v>unverified</x:v>
      </x:c>
      <x:c r="S112" s="10" t="str">
        <x:v>2026-09-30</x:v>
      </x:c>
      <x:c r="T112" s="10" t="str">
        <x:v>https://pasadenacapital.com/team.htm</x:v>
      </x:c>
      <x:c r="U112" s="10" t="str">
        <x:v>8132277910a494</x:v>
      </x:c>
    </x:row>
    <x:row r="113" ht="55" customHeight="1">
      <x:c r="A113" s="10" t="str">
        <x:v>5874589f6141bd</x:v>
      </x:c>
      <x:c r="B113" s="10" t="str">
        <x:v>Signet LLC</x:v>
      </x:c>
      <x:c r="C113" s="10" t="str">
        <x:v>Mark Corr</x:v>
      </x:c>
      <x:c r="D113" s="10" t="str">
        <x:v>Named investor / firm principal</x:v>
      </x:c>
      <x:c r="E113" s="12" t="str">
        <x:v>1 (330) 762-9102</x:v>
      </x:c>
      <x:c r="F113" s="12" t="str">
        <x:v>mcorr@signetllc.com</x:v>
      </x:c>
      <x:c r="G113" s="10" t="str">
        <x:v>named_published_business_office_number</x:v>
      </x:c>
      <x:c r="H113" s="10" t="str">
        <x:v>named_published_professional_email</x:v>
      </x:c>
      <x:c r="I113" s="10" t="str">
        <x:v>not_published_on_reviewed_current_sources</x:v>
      </x:c>
      <x:c r="J113" s="11"/>
      <x:c r="K113" s="11"/>
      <x:c r="L113" s="10" t="str">
        <x:v>Akron, OH</x:v>
      </x:c>
      <x:c r="M113" s="10" t="str">
        <x:v>Principal, President and CEO</x:v>
      </x:c>
      <x:c r="N113" s="10" t="str">
        <x:v>Conditional research prospect</x:v>
      </x:c>
      <x:c r="O113" s="13" t="str">
        <x:v>new</x:v>
      </x:c>
      <x:c r="P113" s="13" t="str"/>
      <x:c r="Q113" s="10" t="str">
        <x:v>Not contacted / unconfirmed</x:v>
      </x:c>
      <x:c r="R113" s="10" t="str">
        <x:v>unverified</x:v>
      </x:c>
      <x:c r="S113" s="10" t="str">
        <x:v>2026-09-30</x:v>
      </x:c>
      <x:c r="T113" s="10" t="str">
        <x:v>https://www.signetllc.com/about-us/team/</x:v>
      </x:c>
      <x:c r="U113" s="10" t="str">
        <x:v>34eaaaeb458c15</x:v>
      </x:c>
    </x:row>
    <x:row r="114" ht="55" customHeight="1">
      <x:c r="A114" s="10" t="str">
        <x:v>da204cd3204ca9</x:v>
      </x:c>
      <x:c r="B114" s="10" t="str">
        <x:v>Stella Maris Family Office</x:v>
      </x:c>
      <x:c r="C114" s="10" t="str">
        <x:v>Paul Kronenfeld</x:v>
      </x:c>
      <x:c r="D114" s="10" t="str">
        <x:v>Named investor / firm principal</x:v>
      </x:c>
      <x:c r="E114" s="12" t="str">
        <x:v>1 (913) 278-0700</x:v>
      </x:c>
      <x:c r="F114" s="12" t="str">
        <x:v>connect@stellamarisfo.com</x:v>
      </x:c>
      <x:c r="G114" s="10" t="str">
        <x:v>published_firm_mainline</x:v>
      </x:c>
      <x:c r="H114" s="10" t="str">
        <x:v>published_firm_inbox_routing</x:v>
      </x:c>
      <x:c r="I114" s="10" t="str">
        <x:v>not_published_on_reviewed_current_sources</x:v>
      </x:c>
      <x:c r="J114" s="11"/>
      <x:c r="K114" s="11"/>
      <x:c r="L114" s="10" t="str">
        <x:v>Kansas City, KS</x:v>
      </x:c>
      <x:c r="M114" s="10" t="str">
        <x:v>President, Investments and Operations</x:v>
      </x:c>
      <x:c r="N114" s="10" t="str">
        <x:v>Conditional research prospect</x:v>
      </x:c>
      <x:c r="O114" s="13" t="str">
        <x:v>new</x:v>
      </x:c>
      <x:c r="P114" s="13" t="str"/>
      <x:c r="Q114" s="10" t="str">
        <x:v>Not contacted / unconfirmed</x:v>
      </x:c>
      <x:c r="R114" s="10" t="str">
        <x:v>unverified</x:v>
      </x:c>
      <x:c r="S114" s="10" t="str">
        <x:v>2026-09-30</x:v>
      </x:c>
      <x:c r="T114" s="10" t="str">
        <x:v>https://stellamarisfo.com/team/</x:v>
      </x:c>
      <x:c r="U114" s="10" t="str">
        <x:v>4dfd9b3861c443</x:v>
      </x:c>
    </x:row>
    <x:row r="115" ht="55" customHeight="1">
      <x:c r="A115" s="10" t="str">
        <x:v>38e4917c6be7dd</x:v>
      </x:c>
      <x:c r="B115" s="10" t="str">
        <x:v>Stella Maris Family Office</x:v>
      </x:c>
      <x:c r="C115" s="10" t="str">
        <x:v>Scott Kincaid</x:v>
      </x:c>
      <x:c r="D115" s="10" t="str">
        <x:v>Named investor / firm principal</x:v>
      </x:c>
      <x:c r="E115" s="12" t="str">
        <x:v>1 (913) 278-0700</x:v>
      </x:c>
      <x:c r="F115" s="12" t="str">
        <x:v>connect@stellamarisfo.com</x:v>
      </x:c>
      <x:c r="G115" s="10" t="str">
        <x:v>published_firm_mainline</x:v>
      </x:c>
      <x:c r="H115" s="10" t="str">
        <x:v>published_firm_inbox_routing</x:v>
      </x:c>
      <x:c r="I115" s="10" t="str">
        <x:v>not_published_on_reviewed_current_sources</x:v>
      </x:c>
      <x:c r="J115" s="11"/>
      <x:c r="K115" s="11"/>
      <x:c r="L115" s="10" t="str">
        <x:v>Kansas City, KS</x:v>
      </x:c>
      <x:c r="M115" s="10" t="str">
        <x:v>Principal and Board Chairman</x:v>
      </x:c>
      <x:c r="N115" s="10" t="str">
        <x:v>Conditional research prospect</x:v>
      </x:c>
      <x:c r="O115" s="13" t="str">
        <x:v>new</x:v>
      </x:c>
      <x:c r="P115" s="13" t="str"/>
      <x:c r="Q115" s="10" t="str">
        <x:v>Not contacted / unconfirmed</x:v>
      </x:c>
      <x:c r="R115" s="10" t="str">
        <x:v>unverified</x:v>
      </x:c>
      <x:c r="S115" s="10" t="str">
        <x:v>2026-09-30</x:v>
      </x:c>
      <x:c r="T115" s="10" t="str">
        <x:v>https://stellamarisfo.com/team/</x:v>
      </x:c>
      <x:c r="U115" s="10" t="str">
        <x:v>4dfd9b3861c443</x:v>
      </x:c>
    </x:row>
    <x:row r="116" ht="55" customHeight="1">
      <x:c r="A116" s="10" t="str">
        <x:v>d7a7f3b4dc97e9</x:v>
      </x:c>
      <x:c r="B116" s="10" t="str">
        <x:v>Tappan Hill Ventures</x:v>
      </x:c>
      <x:c r="C116" s="10" t="str">
        <x:v>Carl Erickson</x:v>
      </x:c>
      <x:c r="D116" s="10" t="str">
        <x:v>Named investor / firm principal</x:v>
      </x:c>
      <x:c r="E116" s="12" t="str">
        <x:v>1 (734) 646-4386</x:v>
      </x:c>
      <x:c r="F116" s="12" t="str">
        <x:v>contact@tappanhillventures.com</x:v>
      </x:c>
      <x:c r="G116" s="10" t="str">
        <x:v>published_firm_mainline</x:v>
      </x:c>
      <x:c r="H116" s="10" t="str">
        <x:v>published_firm_inbox_routing</x:v>
      </x:c>
      <x:c r="I116" s="10" t="str">
        <x:v>not_published_on_reviewed_current_sources</x:v>
      </x:c>
      <x:c r="J116" s="11"/>
      <x:c r="K116" s="11"/>
      <x:c r="L116" s="10" t="str">
        <x:v>Ann Arbor, MI / Texas for Matt Mills</x:v>
      </x:c>
      <x:c r="M116" s="10" t="str">
        <x:v>Managing Director</x:v>
      </x:c>
      <x:c r="N116" s="10" t="str">
        <x:v>Conditional research prospect</x:v>
      </x:c>
      <x:c r="O116" s="13" t="str">
        <x:v>new</x:v>
      </x:c>
      <x:c r="P116" s="13" t="str"/>
      <x:c r="Q116" s="10" t="str">
        <x:v>Not contacted / unconfirmed</x:v>
      </x:c>
      <x:c r="R116" s="10" t="str">
        <x:v>unverified</x:v>
      </x:c>
      <x:c r="S116" s="10" t="str">
        <x:v>2026-09-30</x:v>
      </x:c>
      <x:c r="T116" s="10" t="str">
        <x:v>https://www.tappanhillventures.com/management</x:v>
      </x:c>
      <x:c r="U116" s="10" t="str">
        <x:v>e539511e03ee13</x:v>
      </x:c>
    </x:row>
    <x:row r="117" ht="55" customHeight="1">
      <x:c r="A117" s="10" t="str">
        <x:v>141eedb9ddc379</x:v>
      </x:c>
      <x:c r="B117" s="10" t="str">
        <x:v>Tappan Hill Ventures</x:v>
      </x:c>
      <x:c r="C117" s="10" t="str">
        <x:v>Linda M. Fingerle</x:v>
      </x:c>
      <x:c r="D117" s="10" t="str">
        <x:v>Named investor / firm principal</x:v>
      </x:c>
      <x:c r="E117" s="12" t="str">
        <x:v>1 (734) 646-4386</x:v>
      </x:c>
      <x:c r="F117" s="12" t="str">
        <x:v>contact@tappanhillventures.com</x:v>
      </x:c>
      <x:c r="G117" s="10" t="str">
        <x:v>published_firm_mainline</x:v>
      </x:c>
      <x:c r="H117" s="10" t="str">
        <x:v>published_firm_inbox_routing</x:v>
      </x:c>
      <x:c r="I117" s="10" t="str">
        <x:v>not_published_on_reviewed_current_sources</x:v>
      </x:c>
      <x:c r="J117" s="11"/>
      <x:c r="K117" s="11"/>
      <x:c r="L117" s="10" t="str">
        <x:v>Ann Arbor, MI / Texas for Matt Mills</x:v>
      </x:c>
      <x:c r="M117" s="10" t="str">
        <x:v>President and Managing Director</x:v>
      </x:c>
      <x:c r="N117" s="10" t="str">
        <x:v>Conditional research prospect</x:v>
      </x:c>
      <x:c r="O117" s="13" t="str">
        <x:v>new</x:v>
      </x:c>
      <x:c r="P117" s="13" t="str"/>
      <x:c r="Q117" s="10" t="str">
        <x:v>Not contacted / unconfirmed</x:v>
      </x:c>
      <x:c r="R117" s="10" t="str">
        <x:v>unverified</x:v>
      </x:c>
      <x:c r="S117" s="10" t="str">
        <x:v>2026-09-30</x:v>
      </x:c>
      <x:c r="T117" s="10" t="str">
        <x:v>https://www.tappanhillventures.com/management</x:v>
      </x:c>
      <x:c r="U117" s="10" t="str">
        <x:v>e539511e03ee13</x:v>
      </x:c>
    </x:row>
    <x:row r="118" ht="55" customHeight="1">
      <x:c r="A118" s="10" t="str">
        <x:v>01ce887ab32093</x:v>
      </x:c>
      <x:c r="B118" s="10" t="str">
        <x:v>Tappan Hill Ventures</x:v>
      </x:c>
      <x:c r="C118" s="10" t="str">
        <x:v>Matt Mills</x:v>
      </x:c>
      <x:c r="D118" s="10" t="str">
        <x:v>Named investor / firm principal</x:v>
      </x:c>
      <x:c r="E118" s="12" t="str">
        <x:v>1 (734) 646-4386</x:v>
      </x:c>
      <x:c r="F118" s="12" t="str">
        <x:v>contact@tappanhillventures.com</x:v>
      </x:c>
      <x:c r="G118" s="10" t="str">
        <x:v>published_firm_mainline</x:v>
      </x:c>
      <x:c r="H118" s="10" t="str">
        <x:v>published_firm_inbox_routing</x:v>
      </x:c>
      <x:c r="I118" s="10" t="str">
        <x:v>not_published_on_reviewed_current_sources</x:v>
      </x:c>
      <x:c r="J118" s="11"/>
      <x:c r="K118" s="11"/>
      <x:c r="L118" s="10" t="str">
        <x:v>Ann Arbor, MI / Texas for Matt Mills</x:v>
      </x:c>
      <x:c r="M118" s="10" t="str">
        <x:v>Managing Partner</x:v>
      </x:c>
      <x:c r="N118" s="10" t="str">
        <x:v>Conditional research prospect</x:v>
      </x:c>
      <x:c r="O118" s="13" t="str">
        <x:v>new</x:v>
      </x:c>
      <x:c r="P118" s="13" t="str"/>
      <x:c r="Q118" s="10" t="str">
        <x:v>Not contacted / unconfirmed</x:v>
      </x:c>
      <x:c r="R118" s="10" t="str">
        <x:v>unverified</x:v>
      </x:c>
      <x:c r="S118" s="10" t="str">
        <x:v>2026-09-30</x:v>
      </x:c>
      <x:c r="T118" s="10" t="str">
        <x:v>https://www.tappanhillventures.com/management</x:v>
      </x:c>
      <x:c r="U118" s="10" t="str">
        <x:v>e539511e03ee13</x:v>
      </x:c>
    </x:row>
    <x:row r="119" ht="55" customHeight="1">
      <x:c r="A119" s="10" t="str">
        <x:v>378e08c60a0f69</x:v>
      </x:c>
      <x:c r="B119" s="10" t="str">
        <x:v>Zahren Capital</x:v>
      </x:c>
      <x:c r="C119" s="10" t="str">
        <x:v>Daniel Bald</x:v>
      </x:c>
      <x:c r="D119" s="10" t="str">
        <x:v>Named investor / firm principal</x:v>
      </x:c>
      <x:c r="E119" s="12" t="str">
        <x:v>1 (212) 763-8788</x:v>
      </x:c>
      <x:c r="F119" s="12" t="str">
        <x:v>info@zahrencapital.com</x:v>
      </x:c>
      <x:c r="G119" s="10" t="str">
        <x:v>published_firm_mainline</x:v>
      </x:c>
      <x:c r="H119" s="10" t="str">
        <x:v>published_firm_inbox_routing</x:v>
      </x:c>
      <x:c r="I119" s="10" t="str">
        <x:v>Range scope needs confirmation</x:v>
      </x:c>
      <x:c r="J119" s="11"/>
      <x:c r="K119" s="11"/>
      <x:c r="L119" s="10" t="str">
        <x:v>Los Angeles, CA</x:v>
      </x:c>
      <x:c r="M119" s="10" t="str">
        <x:v>Limited Partner</x:v>
      </x:c>
      <x:c r="N119" s="10" t="str">
        <x:v>Conditional research prospect</x:v>
      </x:c>
      <x:c r="O119" s="13" t="str">
        <x:v>new</x:v>
      </x:c>
      <x:c r="P119" s="13" t="str"/>
      <x:c r="Q119" s="10" t="str">
        <x:v>Not contacted / unconfirmed</x:v>
      </x:c>
      <x:c r="R119" s="10" t="str">
        <x:v>unverified</x:v>
      </x:c>
      <x:c r="S119" s="10" t="str">
        <x:v>2026-09-30</x:v>
      </x:c>
      <x:c r="T119" s="10" t="str">
        <x:v>https://zahrencapital.com/about</x:v>
      </x:c>
      <x:c r="U119" s="10" t="str">
        <x:v>66a606b4ce75e1</x:v>
      </x:c>
    </x:row>
    <x:row r="120" ht="55" customHeight="1">
      <x:c r="A120" s="10" t="str">
        <x:v>f1b1c8c75d8a78</x:v>
      </x:c>
      <x:c r="B120" s="10" t="str">
        <x:v>Zahren Capital</x:v>
      </x:c>
      <x:c r="C120" s="10" t="str">
        <x:v>Daniel Kohan</x:v>
      </x:c>
      <x:c r="D120" s="10" t="str">
        <x:v>Named investor / firm principal</x:v>
      </x:c>
      <x:c r="E120" s="12" t="str">
        <x:v>1 (212) 763-8788</x:v>
      </x:c>
      <x:c r="F120" s="12" t="str">
        <x:v>info@zahrencapital.com</x:v>
      </x:c>
      <x:c r="G120" s="10" t="str">
        <x:v>published_firm_mainline</x:v>
      </x:c>
      <x:c r="H120" s="10" t="str">
        <x:v>published_firm_inbox_routing</x:v>
      </x:c>
      <x:c r="I120" s="10" t="str">
        <x:v>Range scope needs confirmation</x:v>
      </x:c>
      <x:c r="J120" s="11"/>
      <x:c r="K120" s="11"/>
      <x:c r="L120" s="10" t="str">
        <x:v>New York, NY</x:v>
      </x:c>
      <x:c r="M120" s="10" t="str">
        <x:v>Managing Partner</x:v>
      </x:c>
      <x:c r="N120" s="10" t="str">
        <x:v>Conditional research prospect</x:v>
      </x:c>
      <x:c r="O120" s="13" t="str">
        <x:v>new</x:v>
      </x:c>
      <x:c r="P120" s="13" t="str"/>
      <x:c r="Q120" s="10" t="str">
        <x:v>Not contacted / unconfirmed</x:v>
      </x:c>
      <x:c r="R120" s="10" t="str">
        <x:v>unverified</x:v>
      </x:c>
      <x:c r="S120" s="10" t="str">
        <x:v>2026-09-30</x:v>
      </x:c>
      <x:c r="T120" s="10" t="str">
        <x:v>https://zahrencapital.com/about</x:v>
      </x:c>
      <x:c r="U120" s="10" t="str">
        <x:v>66a606b4ce75e1</x:v>
      </x:c>
    </x:row>
    <x:row r="121" ht="55" customHeight="1">
      <x:c r="A121" s="10" t="str">
        <x:v>cf993fef6c999d</x:v>
      </x:c>
      <x:c r="B121" s="10" t="str">
        <x:v>Zahren Capital</x:v>
      </x:c>
      <x:c r="C121" s="10" t="str">
        <x:v>Daniel Shapiro</x:v>
      </x:c>
      <x:c r="D121" s="10" t="str">
        <x:v>Named investor / firm principal</x:v>
      </x:c>
      <x:c r="E121" s="12" t="str">
        <x:v>1 (212) 763-8788</x:v>
      </x:c>
      <x:c r="F121" s="12" t="str">
        <x:v>info@zahrencapital.com</x:v>
      </x:c>
      <x:c r="G121" s="10" t="str">
        <x:v>published_firm_mainline</x:v>
      </x:c>
      <x:c r="H121" s="10" t="str">
        <x:v>published_firm_inbox_routing</x:v>
      </x:c>
      <x:c r="I121" s="10" t="str">
        <x:v>Range scope needs confirmation</x:v>
      </x:c>
      <x:c r="J121" s="11"/>
      <x:c r="K121" s="11"/>
      <x:c r="L121" s="10" t="str">
        <x:v>New York, NY</x:v>
      </x:c>
      <x:c r="M121" s="10" t="str">
        <x:v>Investor</x:v>
      </x:c>
      <x:c r="N121" s="10" t="str">
        <x:v>Conditional research prospect</x:v>
      </x:c>
      <x:c r="O121" s="13" t="str">
        <x:v>new</x:v>
      </x:c>
      <x:c r="P121" s="13" t="str"/>
      <x:c r="Q121" s="10" t="str">
        <x:v>Not contacted / unconfirmed</x:v>
      </x:c>
      <x:c r="R121" s="10" t="str">
        <x:v>unverified</x:v>
      </x:c>
      <x:c r="S121" s="10" t="str">
        <x:v>2026-09-30</x:v>
      </x:c>
      <x:c r="T121" s="10" t="str">
        <x:v>https://zahrencapital.com/about</x:v>
      </x:c>
      <x:c r="U121" s="10" t="str">
        <x:v>66a606b4ce75e1</x:v>
      </x:c>
    </x:row>
    <x:row r="122" ht="55" customHeight="1">
      <x:c r="A122" s="10" t="str">
        <x:v>9f8252cdd6de4c</x:v>
      </x:c>
      <x:c r="B122" s="10" t="str">
        <x:v>RCX Capital Group / RCX Partners</x:v>
      </x:c>
      <x:c r="C122" s="10" t="str"/>
      <x:c r="D122" s="10" t="str">
        <x:v>Operating / strategic equity</x:v>
      </x:c>
      <x:c r="E122" s="12" t="str">
        <x:v>1 (858) 923-8484</x:v>
      </x:c>
      <x:c r="F122" s="12" t="str">
        <x:v>info@rcxcapitalgroup.com</x:v>
      </x:c>
      <x:c r="G122" s="10" t="str">
        <x:v>firm_business_routing</x:v>
      </x:c>
      <x:c r="H122" s="10" t="str">
        <x:v>firm_business_routing</x:v>
      </x:c>
      <x:c r="I122" s="10" t="str">
        <x:v>direct_corporate_check_unpublished</x:v>
      </x:c>
      <x:c r="J122" s="11"/>
      <x:c r="K122" s="11"/>
      <x:c r="L122" s="10" t="str">
        <x:v>The Woodlands, Texas</x:v>
      </x:c>
      <x:c r="M122" s="10" t="str"/>
      <x:c r="N122" s="10" t="str">
        <x:v>Conditional research prospect</x:v>
      </x:c>
      <x:c r="O122" s="13" t="str">
        <x:v>new</x:v>
      </x:c>
      <x:c r="P122" s="13" t="str"/>
      <x:c r="Q122" s="10" t="str">
        <x:v>Not contacted / unconfirmed</x:v>
      </x:c>
      <x:c r="R122" s="10" t="str">
        <x:v>unverified</x:v>
      </x:c>
      <x:c r="S122" s="10" t="str">
        <x:v>2026-09-30</x:v>
      </x:c>
      <x:c r="T122" s="10" t="str">
        <x:v>https://www.rcxcapitalgroup.com/</x:v>
      </x:c>
      <x:c r="U122" s="10" t="str">
        <x:v>bbdb7976537338</x:v>
      </x:c>
    </x:row>
    <x:row r="123" ht="55" customHeight="1">
      <x:c r="A123" s="10" t="str">
        <x:v>f9912c72d35134</x:v>
      </x:c>
      <x:c r="B123" s="10" t="str">
        <x:v>Temerity Strategic Partners</x:v>
      </x:c>
      <x:c r="C123" s="10" t="str"/>
      <x:c r="D123" s="10" t="str">
        <x:v>Operating / strategic equity</x:v>
      </x:c>
      <x:c r="E123" s="12" t="str">
        <x:v>1 (312) 971-9855</x:v>
      </x:c>
      <x:c r="F123" s="12" t="str">
        <x:v>inquiries@temeritystrategic.com</x:v>
      </x:c>
      <x:c r="G123" s="10" t="str">
        <x:v>firm_business_routing</x:v>
      </x:c>
      <x:c r="H123" s="10" t="str">
        <x:v>firm_business_routing</x:v>
      </x:c>
      <x:c r="I123" s="10" t="str">
        <x:v>direct_corporate_check_unpublished</x:v>
      </x:c>
      <x:c r="J123" s="11"/>
      <x:c r="K123" s="11"/>
      <x:c r="L123" s="10" t="str">
        <x:v>Chicago, Illinois and New York, New York</x:v>
      </x:c>
      <x:c r="M123" s="10" t="str"/>
      <x:c r="N123" s="10" t="str">
        <x:v>Conditional research prospect</x:v>
      </x:c>
      <x:c r="O123" s="13" t="str">
        <x:v>new</x:v>
      </x:c>
      <x:c r="P123" s="13" t="str"/>
      <x:c r="Q123" s="10" t="str">
        <x:v>Not contacted / unconfirmed</x:v>
      </x:c>
      <x:c r="R123" s="10" t="str">
        <x:v>unverified</x:v>
      </x:c>
      <x:c r="S123" s="10" t="str">
        <x:v>2026-09-30</x:v>
      </x:c>
      <x:c r="T123" s="10" t="str">
        <x:v>https://temeritystrategic.com/</x:v>
      </x:c>
      <x:c r="U123" s="10" t="str">
        <x:v>088d5c695f2ea2</x:v>
      </x:c>
    </x:row>
    <x:row r="124" ht="55" customHeight="1">
      <x:c r="A124" s="10" t="str">
        <x:v>b86bef9662c6df</x:v>
      </x:c>
      <x:c r="B124" s="10" t="str">
        <x:v>Caydan Capital</x:v>
      </x:c>
      <x:c r="C124" s="10" t="str"/>
      <x:c r="D124" s="10" t="str">
        <x:v>Corporate equity firm</x:v>
      </x:c>
      <x:c r="E124" s="12" t="str">
        <x:v>1 (617) 531-9767</x:v>
      </x:c>
      <x:c r="F124" s="12" t="str"/>
      <x:c r="G124" s="10" t="str">
        <x:v>Published business line; directness unconfirmed</x:v>
      </x:c>
      <x:c r="H124" s="10" t="str">
        <x:v>Published firm inbox</x:v>
      </x:c>
      <x:c r="I124" s="10" t="str">
        <x:v>Published range overlaps $500K</x:v>
      </x:c>
      <x:c r="J124" s="11" t="n">
        <x:v>500000</x:v>
      </x:c>
      <x:c r="K124" s="11" t="n">
        <x:v>5000000</x:v>
      </x:c>
      <x:c r="L124" s="10" t="str">
        <x:v>country: US business context requires source-specific verification; city: ; state: </x:v>
      </x:c>
      <x:c r="M124" s="10" t="str">
        <x:v>Published corporate routing contact</x:v>
      </x:c>
      <x:c r="N124" s="10" t="str">
        <x:v>Conditional research prospect</x:v>
      </x:c>
      <x:c r="O124" s="13" t="str">
        <x:v>new</x:v>
      </x:c>
      <x:c r="P124" s="13" t="str"/>
      <x:c r="Q124" s="10" t="str">
        <x:v>Not contacted / unconfirmed</x:v>
      </x:c>
      <x:c r="R124" s="10" t="str">
        <x:v>unverified</x:v>
      </x:c>
      <x:c r="S124" s="10" t="str">
        <x:v>2026-09-30</x:v>
      </x:c>
      <x:c r="T124" s="10" t="str">
        <x:v>https://www.caydancapital.com/</x:v>
      </x:c>
      <x:c r="U124" s="10" t="str">
        <x:v>ffd7e9e9f96b41</x:v>
      </x:c>
    </x:row>
    <x:row r="125" ht="55" customHeight="1">
      <x:c r="A125" s="10" t="str">
        <x:v>e3f12cd27a4317</x:v>
      </x:c>
      <x:c r="B125" s="10" t="str">
        <x:v>Colorado Impact Fund</x:v>
      </x:c>
      <x:c r="C125" s="10" t="str"/>
      <x:c r="D125" s="10" t="str">
        <x:v>Corporate equity firm</x:v>
      </x:c>
      <x:c r="E125" s="12" t="str">
        <x:v>1 (303) 226-1717</x:v>
      </x:c>
      <x:c r="F125" s="12" t="str"/>
      <x:c r="G125" s="10" t="str">
        <x:v>Published SEC business-office routing number</x:v>
      </x:c>
      <x:c r="H125" s="10" t="str">
        <x:v>Published firm inbox</x:v>
      </x:c>
      <x:c r="I125" s="10" t="str">
        <x:v>Published range overlaps $500K</x:v>
      </x:c>
      <x:c r="J125" s="11" t="n">
        <x:v>500000</x:v>
      </x:c>
      <x:c r="K125" s="11" t="n">
        <x:v>3000000</x:v>
      </x:c>
      <x:c r="L125" s="10" t="str">
        <x:v>country: United States; city: DENVER; state: CO</x:v>
      </x:c>
      <x:c r="M125" s="10" t="str">
        <x:v>Published corporate routing contact</x:v>
      </x:c>
      <x:c r="N125" s="10" t="str">
        <x:v>Conditional research prospect</x:v>
      </x:c>
      <x:c r="O125" s="13" t="str">
        <x:v>new</x:v>
      </x:c>
      <x:c r="P125" s="13" t="str"/>
      <x:c r="Q125" s="10" t="str">
        <x:v>Not contacted / unconfirmed</x:v>
      </x:c>
      <x:c r="R125" s="10" t="str">
        <x:v>unverified</x:v>
      </x:c>
      <x:c r="S125" s="10" t="str">
        <x:v>2026-09-30</x:v>
      </x:c>
      <x:c r="T125" s="10" t="str">
        <x:v>https://www.coloradoimpactfund.com/</x:v>
      </x:c>
      <x:c r="U125" s="10" t="str">
        <x:v>e7e387f291c2f1</x:v>
      </x:c>
    </x:row>
    <x:row r="126" ht="55" customHeight="1">
      <x:c r="A126" s="10" t="str">
        <x:v>592a215bf4021e</x:v>
      </x:c>
      <x:c r="B126" s="10" t="str">
        <x:v>Colton Capital Partners</x:v>
      </x:c>
      <x:c r="C126" s="10" t="str"/>
      <x:c r="D126" s="10" t="str">
        <x:v>Corporate equity firm</x:v>
      </x:c>
      <x:c r="E126" s="12" t="str"/>
      <x:c r="F126" s="12" t="str"/>
      <x:c r="G126" s="10" t="str">
        <x:v>Published business line; directness unconfirmed</x:v>
      </x:c>
      <x:c r="H126" s="10" t="str">
        <x:v>Published firm inbox</x:v>
      </x:c>
      <x:c r="I126" s="10" t="str">
        <x:v>Published range overlaps $500K</x:v>
      </x:c>
      <x:c r="J126" s="11" t="n">
        <x:v>500000</x:v>
      </x:c>
      <x:c r="K126" s="11" t="n">
        <x:v>10000000</x:v>
      </x:c>
      <x:c r="L126" s="10" t="str">
        <x:v>country: US business context requires source-specific verification; city: ; state: </x:v>
      </x:c>
      <x:c r="M126" s="10" t="str">
        <x:v>Published corporate routing contact</x:v>
      </x:c>
      <x:c r="N126" s="10" t="str">
        <x:v>Conditional research prospect</x:v>
      </x:c>
      <x:c r="O126" s="13" t="str">
        <x:v>new</x:v>
      </x:c>
      <x:c r="P126" s="13" t="str"/>
      <x:c r="Q126" s="10" t="str">
        <x:v>Not contacted / unconfirmed</x:v>
      </x:c>
      <x:c r="R126" s="10" t="str">
        <x:v>unverified</x:v>
      </x:c>
      <x:c r="S126" s="10" t="str">
        <x:v>2026-09-30</x:v>
      </x:c>
      <x:c r="T126" s="10" t="str">
        <x:v>https://coltoncap.com/</x:v>
      </x:c>
      <x:c r="U126" s="10" t="str">
        <x:v>2c210dfc8b88cd</x:v>
      </x:c>
    </x:row>
    <x:row r="127" ht="55" customHeight="1">
      <x:c r="A127" s="10" t="str">
        <x:v>e55014bd97d6d5</x:v>
      </x:c>
      <x:c r="B127" s="10" t="str">
        <x:v>Cooper Road</x:v>
      </x:c>
      <x:c r="C127" s="10" t="str"/>
      <x:c r="D127" s="10" t="str">
        <x:v>Corporate equity firm</x:v>
      </x:c>
      <x:c r="E127" s="12" t="str"/>
      <x:c r="F127" s="12" t="str">
        <x:v>jay.bloom@cooperroadllc.com</x:v>
      </x:c>
      <x:c r="G127" s="10" t="str">
        <x:v>Published business line; directness unconfirmed</x:v>
      </x:c>
      <x:c r="H127" s="10" t="str">
        <x:v>Published firm inbox</x:v>
      </x:c>
      <x:c r="I127" s="10" t="str">
        <x:v>Published range overlaps $500K</x:v>
      </x:c>
      <x:c r="J127" s="11" t="n">
        <x:v>250000</x:v>
      </x:c>
      <x:c r="K127" s="11" t="n">
        <x:v>5000000</x:v>
      </x:c>
      <x:c r="L127" s="10" t="str">
        <x:v>country: US business context requires source-specific verification; city: ; state: </x:v>
      </x:c>
      <x:c r="M127" s="10" t="str">
        <x:v>Published corporate routing contact</x:v>
      </x:c>
      <x:c r="N127" s="10" t="str">
        <x:v>Conditional research prospect</x:v>
      </x:c>
      <x:c r="O127" s="13" t="str">
        <x:v>new</x:v>
      </x:c>
      <x:c r="P127" s="13" t="str"/>
      <x:c r="Q127" s="10" t="str">
        <x:v>Not contacted / unconfirmed</x:v>
      </x:c>
      <x:c r="R127" s="10" t="str">
        <x:v>unverified</x:v>
      </x:c>
      <x:c r="S127" s="10" t="str">
        <x:v>2026-09-30</x:v>
      </x:c>
      <x:c r="T127" s="10" t="str">
        <x:v>https://www.cooperroadllc.com/</x:v>
      </x:c>
      <x:c r="U127" s="10" t="str">
        <x:v>084c7d81101cdf</x:v>
      </x:c>
    </x:row>
    <x:row r="128" ht="55" customHeight="1">
      <x:c r="A128" s="10" t="str">
        <x:v>eb56d01db99b3a</x:v>
      </x:c>
      <x:c r="B128" s="10" t="str">
        <x:v>EdgeHill Venture Partners</x:v>
      </x:c>
      <x:c r="C128" s="10" t="str"/>
      <x:c r="D128" s="10" t="str">
        <x:v>Corporate equity firm</x:v>
      </x:c>
      <x:c r="E128" s="12" t="str">
        <x:v>1 (913) 788-1045</x:v>
      </x:c>
      <x:c r="F128" s="12" t="str"/>
      <x:c r="G128" s="10" t="str">
        <x:v>Published business line; directness unconfirmed</x:v>
      </x:c>
      <x:c r="H128" s="10" t="str">
        <x:v>Published firm inbox</x:v>
      </x:c>
      <x:c r="I128" s="10" t="str">
        <x:v>Published range overlaps $500K</x:v>
      </x:c>
      <x:c r="J128" s="11" t="n">
        <x:v>250000</x:v>
      </x:c>
      <x:c r="K128" s="11"/>
      <x:c r="L128" s="10" t="str">
        <x:v>country: US business context requires source-specific verification; city: ; state: </x:v>
      </x:c>
      <x:c r="M128" s="10" t="str">
        <x:v>Published corporate routing contact</x:v>
      </x:c>
      <x:c r="N128" s="10" t="str">
        <x:v>Conditional research prospect</x:v>
      </x:c>
      <x:c r="O128" s="13" t="str">
        <x:v>new</x:v>
      </x:c>
      <x:c r="P128" s="13" t="str"/>
      <x:c r="Q128" s="10" t="str">
        <x:v>Not contacted / unconfirmed</x:v>
      </x:c>
      <x:c r="R128" s="10" t="str">
        <x:v>unverified</x:v>
      </x:c>
      <x:c r="S128" s="10" t="str">
        <x:v>2026-09-30</x:v>
      </x:c>
      <x:c r="T128" s="10" t="str">
        <x:v>https://www.edgehillvp.com/</x:v>
      </x:c>
      <x:c r="U128" s="10" t="str">
        <x:v>14f98db768c3dc</x:v>
      </x:c>
    </x:row>
    <x:row r="129" ht="55" customHeight="1">
      <x:c r="A129" s="10" t="str">
        <x:v>4de2cf38994509</x:v>
      </x:c>
      <x:c r="B129" s="10" t="str">
        <x:v>JAM Capital LLC</x:v>
      </x:c>
      <x:c r="C129" s="10" t="str"/>
      <x:c r="D129" s="10" t="str">
        <x:v>Corporate equity firm</x:v>
      </x:c>
      <x:c r="E129" s="12" t="str"/>
      <x:c r="F129" s="12" t="str"/>
      <x:c r="G129" s="10" t="str">
        <x:v>Published business line; directness unconfirmed</x:v>
      </x:c>
      <x:c r="H129" s="10" t="str">
        <x:v>Published firm inbox</x:v>
      </x:c>
      <x:c r="I129" s="10" t="str">
        <x:v>Published range overlaps $500K</x:v>
      </x:c>
      <x:c r="J129" s="11" t="n">
        <x:v>500000</x:v>
      </x:c>
      <x:c r="K129" s="11" t="n">
        <x:v>5000000</x:v>
      </x:c>
      <x:c r="L129" s="10" t="str">
        <x:v>country: US business context requires source-specific verification; city: ; state: </x:v>
      </x:c>
      <x:c r="M129" s="10" t="str">
        <x:v>Published corporate routing contact</x:v>
      </x:c>
      <x:c r="N129" s="10" t="str">
        <x:v>Conditional research prospect</x:v>
      </x:c>
      <x:c r="O129" s="13" t="str">
        <x:v>new</x:v>
      </x:c>
      <x:c r="P129" s="13" t="str"/>
      <x:c r="Q129" s="10" t="str">
        <x:v>Not contacted / unconfirmed</x:v>
      </x:c>
      <x:c r="R129" s="10" t="str">
        <x:v>unverified</x:v>
      </x:c>
      <x:c r="S129" s="10" t="str">
        <x:v>2026-09-30</x:v>
      </x:c>
      <x:c r="T129" s="10" t="str">
        <x:v>https://www.jamcapitalllc.com/</x:v>
      </x:c>
      <x:c r="U129" s="10" t="str">
        <x:v>f53af130dc7e07</x:v>
      </x:c>
    </x:row>
    <x:row r="130" ht="55" customHeight="1">
      <x:c r="A130" s="10" t="str">
        <x:v>8d10b9d78e75b3</x:v>
      </x:c>
      <x:c r="B130" s="10" t="str">
        <x:v>Network Effects Capital</x:v>
      </x:c>
      <x:c r="C130" s="10" t="str"/>
      <x:c r="D130" s="10" t="str">
        <x:v>Corporate equity firm</x:v>
      </x:c>
      <x:c r="E130" s="12" t="str"/>
      <x:c r="F130" s="12" t="str"/>
      <x:c r="G130" s="10" t="str">
        <x:v>Published business line; directness unconfirmed</x:v>
      </x:c>
      <x:c r="H130" s="10" t="str">
        <x:v>Published firm inbox</x:v>
      </x:c>
      <x:c r="I130" s="10" t="str">
        <x:v>Published range overlaps $500K</x:v>
      </x:c>
      <x:c r="J130" s="11" t="n">
        <x:v>500000</x:v>
      </x:c>
      <x:c r="K130" s="11" t="n">
        <x:v>2000000</x:v>
      </x:c>
      <x:c r="L130" s="10" t="str">
        <x:v>country: US business context requires source-specific verification; city: ; state: </x:v>
      </x:c>
      <x:c r="M130" s="10" t="str">
        <x:v>Published corporate routing contact</x:v>
      </x:c>
      <x:c r="N130" s="10" t="str">
        <x:v>Conditional research prospect</x:v>
      </x:c>
      <x:c r="O130" s="13" t="str">
        <x:v>new</x:v>
      </x:c>
      <x:c r="P130" s="13" t="str"/>
      <x:c r="Q130" s="10" t="str">
        <x:v>Not contacted / unconfirmed</x:v>
      </x:c>
      <x:c r="R130" s="10" t="str">
        <x:v>unverified</x:v>
      </x:c>
      <x:c r="S130" s="10" t="str">
        <x:v>2026-09-30</x:v>
      </x:c>
      <x:c r="T130" s="10" t="str">
        <x:v>https://networkeffectscapital.com/</x:v>
      </x:c>
      <x:c r="U130" s="10" t="str">
        <x:v>ceb0382c147e06</x:v>
      </x:c>
    </x:row>
    <x:row r="131" ht="55" customHeight="1">
      <x:c r="A131" s="10" t="str">
        <x:v>68c62085e6e5af</x:v>
      </x:c>
      <x:c r="B131" s="10" t="str">
        <x:v>Onyx Capital Management</x:v>
      </x:c>
      <x:c r="C131" s="10" t="str"/>
      <x:c r="D131" s="10" t="str">
        <x:v>Corporate equity firm</x:v>
      </x:c>
      <x:c r="E131" s="12" t="str">
        <x:v>1 (972) 587-7222</x:v>
      </x:c>
      <x:c r="F131" s="12" t="str"/>
      <x:c r="G131" s="10" t="str">
        <x:v>Published business line; directness unconfirmed</x:v>
      </x:c>
      <x:c r="H131" s="10" t="str">
        <x:v>Published firm inbox</x:v>
      </x:c>
      <x:c r="I131" s="10" t="str">
        <x:v>Published range overlaps $500K</x:v>
      </x:c>
      <x:c r="J131" s="11" t="n">
        <x:v>250000</x:v>
      </x:c>
      <x:c r="K131" s="11" t="n">
        <x:v>25000000</x:v>
      </x:c>
      <x:c r="L131" s="10" t="str">
        <x:v>country: US business context requires source-specific verification; city: ; state: </x:v>
      </x:c>
      <x:c r="M131" s="10" t="str">
        <x:v>Published corporate routing contact</x:v>
      </x:c>
      <x:c r="N131" s="10" t="str">
        <x:v>Conditional research prospect</x:v>
      </x:c>
      <x:c r="O131" s="13" t="str">
        <x:v>new</x:v>
      </x:c>
      <x:c r="P131" s="13" t="str"/>
      <x:c r="Q131" s="10" t="str">
        <x:v>Not contacted / unconfirmed</x:v>
      </x:c>
      <x:c r="R131" s="10" t="str">
        <x:v>unverified</x:v>
      </x:c>
      <x:c r="S131" s="10" t="str">
        <x:v>2026-09-30</x:v>
      </x:c>
      <x:c r="T131" s="10" t="str">
        <x:v>https://onyxcm.com/</x:v>
      </x:c>
      <x:c r="U131" s="10" t="str">
        <x:v>797335001ee281</x:v>
      </x:c>
    </x:row>
    <x:row r="132" ht="55" customHeight="1">
      <x:c r="A132" s="10" t="str">
        <x:v>debb34c9d0f950</x:v>
      </x:c>
      <x:c r="B132" s="10" t="str">
        <x:v>Pasadena Capital Partners</x:v>
      </x:c>
      <x:c r="C132" s="10" t="str"/>
      <x:c r="D132" s="10" t="str">
        <x:v>Corporate equity firm</x:v>
      </x:c>
      <x:c r="E132" s="12" t="str"/>
      <x:c r="F132" s="12" t="str">
        <x:v>annick@pasadenacapital.com</x:v>
      </x:c>
      <x:c r="G132" s="10" t="str">
        <x:v>Published business line; directness unconfirmed</x:v>
      </x:c>
      <x:c r="H132" s="10" t="str">
        <x:v>Published firm inbox</x:v>
      </x:c>
      <x:c r="I132" s="10" t="str">
        <x:v>Published range overlaps $500K</x:v>
      </x:c>
      <x:c r="J132" s="11" t="n">
        <x:v>250000</x:v>
      </x:c>
      <x:c r="K132" s="11" t="n">
        <x:v>2000000</x:v>
      </x:c>
      <x:c r="L132" s="10" t="str">
        <x:v>country: US business context requires source-specific verification; city: ; state: </x:v>
      </x:c>
      <x:c r="M132" s="10" t="str">
        <x:v>Published corporate routing contact</x:v>
      </x:c>
      <x:c r="N132" s="10" t="str">
        <x:v>Conditional research prospect</x:v>
      </x:c>
      <x:c r="O132" s="13" t="str">
        <x:v>new</x:v>
      </x:c>
      <x:c r="P132" s="13" t="str"/>
      <x:c r="Q132" s="10" t="str">
        <x:v>Not contacted / unconfirmed</x:v>
      </x:c>
      <x:c r="R132" s="10" t="str">
        <x:v>unverified</x:v>
      </x:c>
      <x:c r="S132" s="10" t="str">
        <x:v>2026-09-30</x:v>
      </x:c>
      <x:c r="T132" s="10" t="str">
        <x:v>https://www.pasadenacapital.com/</x:v>
      </x:c>
      <x:c r="U132" s="10" t="str">
        <x:v>8132277910a494</x:v>
      </x:c>
    </x:row>
    <x:row r="133" ht="55" customHeight="1">
      <x:c r="A133" s="10" t="str">
        <x:v>1b5b5bc1b59d92</x:v>
      </x:c>
      <x:c r="B133" s="10" t="str">
        <x:v>Stelac Capital Partners</x:v>
      </x:c>
      <x:c r="C133" s="10" t="str"/>
      <x:c r="D133" s="10" t="str">
        <x:v>Corporate equity firm</x:v>
      </x:c>
      <x:c r="E133" s="12" t="str">
        <x:v>1 (212) 920-3890</x:v>
      </x:c>
      <x:c r="F133" s="12" t="str"/>
      <x:c r="G133" s="10" t="str">
        <x:v>Published business line; directness unconfirmed</x:v>
      </x:c>
      <x:c r="H133" s="10" t="str">
        <x:v>Published firm inbox</x:v>
      </x:c>
      <x:c r="I133" s="10" t="str">
        <x:v>Published range overlaps $500K</x:v>
      </x:c>
      <x:c r="J133" s="11" t="n">
        <x:v>250000</x:v>
      </x:c>
      <x:c r="K133" s="11" t="n">
        <x:v>1000000</x:v>
      </x:c>
      <x:c r="L133" s="10" t="str">
        <x:v>country: United States; city: NEW YORK; state: NY</x:v>
      </x:c>
      <x:c r="M133" s="10" t="str">
        <x:v>Published corporate routing contact</x:v>
      </x:c>
      <x:c r="N133" s="10" t="str">
        <x:v>Conditional research prospect</x:v>
      </x:c>
      <x:c r="O133" s="13" t="str">
        <x:v>new</x:v>
      </x:c>
      <x:c r="P133" s="13" t="str"/>
      <x:c r="Q133" s="10" t="str">
        <x:v>Not contacted / unconfirmed</x:v>
      </x:c>
      <x:c r="R133" s="10" t="str">
        <x:v>unverified</x:v>
      </x:c>
      <x:c r="S133" s="10" t="str">
        <x:v>2026-09-30</x:v>
      </x:c>
      <x:c r="T133" s="10" t="str">
        <x:v>https://stelac.com/</x:v>
      </x:c>
      <x:c r="U133" s="10" t="str">
        <x:v>88d256789851fa</x:v>
      </x:c>
    </x:row>
    <x:row r="134" ht="55" customHeight="1">
      <x:c r="A134" s="10" t="str">
        <x:v>c5a6a9e1b7b6e3</x:v>
      </x:c>
      <x:c r="B134" s="10" t="str">
        <x:v>CHW Capital</x:v>
      </x:c>
      <x:c r="C134" s="10" t="str"/>
      <x:c r="D134" s="10" t="str">
        <x:v>Family investment firm</x:v>
      </x:c>
      <x:c r="E134" s="12" t="str"/>
      <x:c r="F134" s="12" t="str">
        <x:v>travis@chw.capital</x:v>
      </x:c>
      <x:c r="G134" s="10" t="str">
        <x:v>professional_business_contact_as_published</x:v>
      </x:c>
      <x:c r="H134" s="10" t="str">
        <x:v>Published firm inbox</x:v>
      </x:c>
      <x:c r="I134" s="10" t="str">
        <x:v>Published range overlaps $500K</x:v>
      </x:c>
      <x:c r="J134" s="11" t="n">
        <x:v>500000</x:v>
      </x:c>
      <x:c r="K134" s="11"/>
      <x:c r="L134" s="10" t="str">
        <x:v>Companies headquartered in the USA.</x:v>
      </x:c>
      <x:c r="M134" s="10" t="str"/>
      <x:c r="N134" s="10" t="str">
        <x:v>Conditional research prospect</x:v>
      </x:c>
      <x:c r="O134" s="13" t="str">
        <x:v>new</x:v>
      </x:c>
      <x:c r="P134" s="13" t="str"/>
      <x:c r="Q134" s="10" t="str">
        <x:v>Not contacted / unconfirmed</x:v>
      </x:c>
      <x:c r="R134" s="10" t="str">
        <x:v>unverified</x:v>
      </x:c>
      <x:c r="S134" s="10" t="str">
        <x:v>2026-09-30</x:v>
      </x:c>
      <x:c r="T134" s="10" t="str">
        <x:v>https://chw.capital/</x:v>
      </x:c>
      <x:c r="U134" s="10" t="str">
        <x:v>ffd4e948dcae3e</x:v>
      </x:c>
    </x:row>
    <x:row r="135" ht="55" customHeight="1">
      <x:c r="A135" s="10" t="str">
        <x:v>b63e072ffe41d8</x:v>
      </x:c>
      <x:c r="B135" s="10" t="str">
        <x:v>Prox Search Capital</x:v>
      </x:c>
      <x:c r="C135" s="10" t="str"/>
      <x:c r="D135" s="10" t="str">
        <x:v>Family investment firm</x:v>
      </x:c>
      <x:c r="E135" s="12" t="str"/>
      <x:c r="F135" s="12" t="str">
        <x:v>info@proxcapitalgroup.com</x:v>
      </x:c>
      <x:c r="G135" s="10" t="str">
        <x:v>professional_business_contact_as_published</x:v>
      </x:c>
      <x:c r="H135" s="10" t="str">
        <x:v>Published firm inbox</x:v>
      </x:c>
      <x:c r="I135" s="10" t="str">
        <x:v>Published range overlaps $500K</x:v>
      </x:c>
      <x:c r="J135" s="11" t="n">
        <x:v>500000</x:v>
      </x:c>
      <x:c r="K135" s="11" t="n">
        <x:v>2500000</x:v>
      </x:c>
      <x:c r="L135" s="10" t="str">
        <x:v>US-based industry agnostic target companies; Denver team.</x:v>
      </x:c>
      <x:c r="M135" s="10" t="str"/>
      <x:c r="N135" s="10" t="str">
        <x:v>Conditional research prospect</x:v>
      </x:c>
      <x:c r="O135" s="13" t="str">
        <x:v>new</x:v>
      </x:c>
      <x:c r="P135" s="13" t="str"/>
      <x:c r="Q135" s="10" t="str">
        <x:v>Not contacted / unconfirmed</x:v>
      </x:c>
      <x:c r="R135" s="10" t="str">
        <x:v>unverified</x:v>
      </x:c>
      <x:c r="S135" s="10" t="str">
        <x:v>2026-09-30</x:v>
      </x:c>
      <x:c r="T135" s="10" t="str">
        <x:v>https://proxsearchcapital.com/</x:v>
      </x:c>
      <x:c r="U135" s="10" t="str">
        <x:v>4abe17fb229521</x:v>
      </x:c>
    </x:row>
    <x:row r="136" ht="55" customHeight="1">
      <x:c r="A136" s="10" t="str">
        <x:v>7f875819523429</x:v>
      </x:c>
      <x:c r="B136" s="10" t="str">
        <x:v>Rifton Capital</x:v>
      </x:c>
      <x:c r="C136" s="10" t="str"/>
      <x:c r="D136" s="10" t="str">
        <x:v>Family investment firm</x:v>
      </x:c>
      <x:c r="E136" s="12" t="str"/>
      <x:c r="F136" s="12" t="str">
        <x:v>riftoncapital@gmail.com</x:v>
      </x:c>
      <x:c r="G136" s="10" t="str">
        <x:v>professional_business_contact_as_published</x:v>
      </x:c>
      <x:c r="H136" s="10" t="str">
        <x:v>Published firm inbox</x:v>
      </x:c>
      <x:c r="I136" s="10" t="str">
        <x:v>Published range overlaps $500K</x:v>
      </x:c>
      <x:c r="J136" s="11" t="n">
        <x:v>250000</x:v>
      </x:c>
      <x:c r="K136" s="11" t="n">
        <x:v>5000000</x:v>
      </x:c>
      <x:c r="L136" s="10" t="str">
        <x:v>Fredericksburg, Texas office.</x:v>
      </x:c>
      <x:c r="M136" s="10" t="str"/>
      <x:c r="N136" s="10" t="str">
        <x:v>Conditional research prospect</x:v>
      </x:c>
      <x:c r="O136" s="13" t="str">
        <x:v>new</x:v>
      </x:c>
      <x:c r="P136" s="13" t="str"/>
      <x:c r="Q136" s="10" t="str">
        <x:v>Not contacted / unconfirmed</x:v>
      </x:c>
      <x:c r="R136" s="10" t="str">
        <x:v>unverified</x:v>
      </x:c>
      <x:c r="S136" s="10" t="str">
        <x:v>2026-09-30</x:v>
      </x:c>
      <x:c r="T136" s="10" t="str">
        <x:v>https://www.riftoncapital.com/</x:v>
      </x:c>
      <x:c r="U136" s="10" t="str">
        <x:v>6e1a525a10b9a8</x:v>
      </x:c>
    </x:row>
    <x:row r="137" ht="55" customHeight="1">
      <x:c r="A137" s="10" t="str">
        <x:v>ab3452559226fc</x:v>
      </x:c>
      <x:c r="B137" s="10" t="str">
        <x:v>Denver Ventures</x:v>
      </x:c>
      <x:c r="C137" s="10" t="str">
        <x:v>Amy Brandenburg</x:v>
      </x:c>
      <x:c r="D137" s="10" t="str">
        <x:v>Named investor / firm principal</x:v>
      </x:c>
      <x:c r="E137" s="12" t="str"/>
      <x:c r="F137" s="12" t="str"/>
      <x:c r="G137" s="10" t="str">
        <x:v>published_firm_mainline</x:v>
      </x:c>
      <x:c r="H137" s="10" t="str">
        <x:v>not_publicly_found</x:v>
      </x:c>
      <x:c r="I137" s="10" t="str">
        <x:v>Published range overlaps $500K</x:v>
      </x:c>
      <x:c r="J137" s="11" t="n">
        <x:v>250000</x:v>
      </x:c>
      <x:c r="K137" s="11" t="n">
        <x:v>800000</x:v>
      </x:c>
      <x:c r="L137" s="10" t="str">
        <x:v>Across United States; Denver, Colorado</x:v>
      </x:c>
      <x:c r="M137" s="10" t="str">
        <x:v>Managing Partner</x:v>
      </x:c>
      <x:c r="N137" s="10" t="str">
        <x:v>Conditional research prospect</x:v>
      </x:c>
      <x:c r="O137" s="13" t="str">
        <x:v>new</x:v>
      </x:c>
      <x:c r="P137" s="13" t="str"/>
      <x:c r="Q137" s="10" t="str">
        <x:v>Not contacted / unconfirmed</x:v>
      </x:c>
      <x:c r="R137" s="10" t="str">
        <x:v>unverified</x:v>
      </x:c>
      <x:c r="S137" s="10" t="str">
        <x:v>2026-09-30</x:v>
      </x:c>
      <x:c r="T137" s="10" t="str">
        <x:v>https://denverventures.co/</x:v>
      </x:c>
      <x:c r="U137" s="10" t="str">
        <x:v>3310f9727e29de</x:v>
      </x:c>
    </x:row>
    <x:row r="138" ht="55" customHeight="1">
      <x:c r="A138" s="10" t="str">
        <x:v>31188f7e7a1aa6</x:v>
      </x:c>
      <x:c r="B138" s="10" t="str">
        <x:v>Firebrand Ventures</x:v>
      </x:c>
      <x:c r="C138" s="10" t="str">
        <x:v>John Fein</x:v>
      </x:c>
      <x:c r="D138" s="10" t="str">
        <x:v>Named investor / firm principal</x:v>
      </x:c>
      <x:c r="E138" s="12" t="str"/>
      <x:c r="F138" s="12" t="str">
        <x:v>john@firebrandvc.com</x:v>
      </x:c>
      <x:c r="G138" s="10" t="str">
        <x:v>published_firm_mainline</x:v>
      </x:c>
      <x:c r="H138" s="10" t="str">
        <x:v>named_published_professional_email</x:v>
      </x:c>
      <x:c r="I138" s="10" t="str">
        <x:v>Published range overlaps $500K</x:v>
      </x:c>
      <x:c r="J138" s="11" t="n">
        <x:v>500000</x:v>
      </x:c>
      <x:c r="K138" s="11" t="n">
        <x:v>1000000</x:v>
      </x:c>
      <x:c r="L138" s="10" t="str">
        <x:v>United States and Canada; underserved startup communities</x:v>
      </x:c>
      <x:c r="M138" s="10" t="str">
        <x:v>Managing Partner</x:v>
      </x:c>
      <x:c r="N138" s="10" t="str">
        <x:v>Conditional research prospect</x:v>
      </x:c>
      <x:c r="O138" s="13" t="str">
        <x:v>new</x:v>
      </x:c>
      <x:c r="P138" s="13" t="str"/>
      <x:c r="Q138" s="10" t="str">
        <x:v>Not contacted / unconfirmed</x:v>
      </x:c>
      <x:c r="R138" s="10" t="str">
        <x:v>unverified</x:v>
      </x:c>
      <x:c r="S138" s="10" t="str">
        <x:v>2026-09-30</x:v>
      </x:c>
      <x:c r="T138" s="10" t="str">
        <x:v>https://www.firebrandvc.com/team</x:v>
      </x:c>
      <x:c r="U138" s="10" t="str">
        <x:v>8178e2b9cd4679</x:v>
      </x:c>
    </x:row>
    <x:row r="139" ht="55" customHeight="1">
      <x:c r="A139" s="10" t="str">
        <x:v>14c162eee50868</x:v>
      </x:c>
      <x:c r="B139" s="10" t="str">
        <x:v>Heartland Ventures</x:v>
      </x:c>
      <x:c r="C139" s="10" t="str">
        <x:v>Max Brickman</x:v>
      </x:c>
      <x:c r="D139" s="10" t="str">
        <x:v>Named investor / firm principal</x:v>
      </x:c>
      <x:c r="E139" s="12" t="str"/>
      <x:c r="F139" s="12" t="str">
        <x:v>mbrickman@heartlandvc.com</x:v>
      </x:c>
      <x:c r="G139" s="10" t="str">
        <x:v>published_firm_mainline</x:v>
      </x:c>
      <x:c r="H139" s="10" t="str">
        <x:v>named_published_professional_email</x:v>
      </x:c>
      <x:c r="I139" s="10" t="str">
        <x:v>Published range overlaps $500K</x:v>
      </x:c>
      <x:c r="J139" s="11" t="n">
        <x:v>500000</x:v>
      </x:c>
      <x:c r="K139" s="11" t="n">
        <x:v>3000000</x:v>
      </x:c>
      <x:c r="L139" s="10" t="str">
        <x:v>Midwest and coastal U.S. offices; investment regions agnostic</x:v>
      </x:c>
      <x:c r="M139" s="10" t="str">
        <x:v>Founder &amp; Managing Partner</x:v>
      </x:c>
      <x:c r="N139" s="10" t="str">
        <x:v>Conditional research prospect</x:v>
      </x:c>
      <x:c r="O139" s="13" t="str">
        <x:v>new</x:v>
      </x:c>
      <x:c r="P139" s="13" t="str"/>
      <x:c r="Q139" s="10" t="str">
        <x:v>Not contacted / unconfirmed</x:v>
      </x:c>
      <x:c r="R139" s="10" t="str">
        <x:v>unverified</x:v>
      </x:c>
      <x:c r="S139" s="10" t="str">
        <x:v>2026-09-30</x:v>
      </x:c>
      <x:c r="T139" s="10" t="str">
        <x:v>https://www.heartlandvc.com/max-brickman</x:v>
      </x:c>
      <x:c r="U139" s="10" t="str">
        <x:v>07131aac0e3262</x:v>
      </x:c>
    </x:row>
    <x:row r="140" ht="55" customHeight="1">
      <x:c r="A140" s="10" t="str">
        <x:v>64a46d252769a5</x:v>
      </x:c>
      <x:c r="B140" s="10" t="str">
        <x:v>Hometeam Ventures</x:v>
      </x:c>
      <x:c r="C140" s="10" t="str">
        <x:v>Alexandria Lafci</x:v>
      </x:c>
      <x:c r="D140" s="10" t="str">
        <x:v>Named investor / firm principal</x:v>
      </x:c>
      <x:c r="E140" s="12" t="str"/>
      <x:c r="F140" s="12" t="str">
        <x:v>alexandria@hometeam.vc</x:v>
      </x:c>
      <x:c r="G140" s="10" t="str">
        <x:v>published_firm_mainline</x:v>
      </x:c>
      <x:c r="H140" s="10" t="str">
        <x:v>named_published_professional_email</x:v>
      </x:c>
      <x:c r="I140" s="10" t="str">
        <x:v>Published range overlaps $500K</x:v>
      </x:c>
      <x:c r="J140" s="11" t="n">
        <x:v>500000</x:v>
      </x:c>
      <x:c r="K140" s="11" t="n">
        <x:v>1000000</x:v>
      </x:c>
      <x:c r="L140" s="10" t="str">
        <x:v>United States venture platform; global portfolio</x:v>
      </x:c>
      <x:c r="M140" s="10" t="str">
        <x:v>Founder &amp; Managing Partner</x:v>
      </x:c>
      <x:c r="N140" s="10" t="str">
        <x:v>Conditional research prospect</x:v>
      </x:c>
      <x:c r="O140" s="13" t="str">
        <x:v>new</x:v>
      </x:c>
      <x:c r="P140" s="13" t="str"/>
      <x:c r="Q140" s="10" t="str">
        <x:v>Not contacted / unconfirmed</x:v>
      </x:c>
      <x:c r="R140" s="10" t="str">
        <x:v>unverified</x:v>
      </x:c>
      <x:c r="S140" s="10" t="str">
        <x:v>2026-09-30</x:v>
      </x:c>
      <x:c r="T140" s="10" t="str">
        <x:v>https://hometeam.vc/about</x:v>
      </x:c>
      <x:c r="U140" s="10" t="str">
        <x:v>4d6c71de0d0c9a</x:v>
      </x:c>
    </x:row>
    <x:row r="141" ht="55" customHeight="1">
      <x:c r="A141" s="10" t="str">
        <x:v>40508efa2c72cf</x:v>
      </x:c>
      <x:c r="B141" s="10" t="str">
        <x:v>Incisive Ventures</x:v>
      </x:c>
      <x:c r="C141" s="10" t="str">
        <x:v>Martin Tobias</x:v>
      </x:c>
      <x:c r="D141" s="10" t="str">
        <x:v>Named investor / firm principal</x:v>
      </x:c>
      <x:c r="E141" s="12" t="str"/>
      <x:c r="F141" s="12" t="str"/>
      <x:c r="G141" s="10" t="str">
        <x:v>published_firm_mainline</x:v>
      </x:c>
      <x:c r="H141" s="10" t="str">
        <x:v>not_publicly_found</x:v>
      </x:c>
      <x:c r="I141" s="10" t="str">
        <x:v>Published range overlaps $500K</x:v>
      </x:c>
      <x:c r="J141" s="11" t="n">
        <x:v>250000</x:v>
      </x:c>
      <x:c r="K141" s="11" t="n">
        <x:v>500000</x:v>
      </x:c>
      <x:c r="L141" s="10" t="str">
        <x:v>Seattle, Washington</x:v>
      </x:c>
      <x:c r="M141" s="10" t="str">
        <x:v>Founder / General Partner</x:v>
      </x:c>
      <x:c r="N141" s="10" t="str">
        <x:v>Conditional research prospect</x:v>
      </x:c>
      <x:c r="O141" s="13" t="str">
        <x:v>new</x:v>
      </x:c>
      <x:c r="P141" s="13" t="str"/>
      <x:c r="Q141" s="10" t="str">
        <x:v>Not contacted / unconfirmed</x:v>
      </x:c>
      <x:c r="R141" s="10" t="str">
        <x:v>unverified</x:v>
      </x:c>
      <x:c r="S141" s="10" t="str">
        <x:v>2026-09-30</x:v>
      </x:c>
      <x:c r="T141" s="10" t="str">
        <x:v>https://www.incisive.vc/about</x:v>
      </x:c>
      <x:c r="U141" s="10" t="str">
        <x:v>d135432f2e3780</x:v>
      </x:c>
    </x:row>
    <x:row r="142" ht="55" customHeight="1">
      <x:c r="A142" s="10" t="str">
        <x:v>ef380ea8a03e16</x:v>
      </x:c>
      <x:c r="B142" s="10" t="str">
        <x:v>Tapasya Ventures</x:v>
      </x:c>
      <x:c r="C142" s="10" t="str">
        <x:v>Pratik Kodial</x:v>
      </x:c>
      <x:c r="D142" s="10" t="str">
        <x:v>Named investor / firm principal</x:v>
      </x:c>
      <x:c r="E142" s="12" t="str"/>
      <x:c r="F142" s="12" t="str">
        <x:v>pratik@tapasyaventures.com</x:v>
      </x:c>
      <x:c r="G142" s="10" t="str">
        <x:v>published_firm_mainline</x:v>
      </x:c>
      <x:c r="H142" s="10" t="str">
        <x:v>named_published_professional_email</x:v>
      </x:c>
      <x:c r="I142" s="10" t="str">
        <x:v>Published range overlaps $500K</x:v>
      </x:c>
      <x:c r="J142" s="11" t="n">
        <x:v>25000</x:v>
      </x:c>
      <x:c r="K142" s="11" t="n">
        <x:v>500000</x:v>
      </x:c>
      <x:c r="L142" s="10" t="str">
        <x:v>Texas Triangle: DFW, Austin, Houston</x:v>
      </x:c>
      <x:c r="M142" s="10" t="str">
        <x:v>Co-Founder &amp; Managing Partner</x:v>
      </x:c>
      <x:c r="N142" s="10" t="str">
        <x:v>Conditional research prospect</x:v>
      </x:c>
      <x:c r="O142" s="13" t="str">
        <x:v>new</x:v>
      </x:c>
      <x:c r="P142" s="13" t="str"/>
      <x:c r="Q142" s="10" t="str">
        <x:v>Not contacted / unconfirmed</x:v>
      </x:c>
      <x:c r="R142" s="10" t="str">
        <x:v>unverified</x:v>
      </x:c>
      <x:c r="S142" s="10" t="str">
        <x:v>2026-09-30</x:v>
      </x:c>
      <x:c r="T142" s="10" t="str">
        <x:v>https://www.tapasyaventures.com/team.html</x:v>
      </x:c>
      <x:c r="U142" s="10" t="str">
        <x:v>142289b7ca0674</x:v>
      </x:c>
    </x:row>
    <x:row r="143" ht="55" customHeight="1">
      <x:c r="A143" s="10" t="str">
        <x:v>6e0c1ba57357bb</x:v>
      </x:c>
      <x:c r="B143" s="10" t="str">
        <x:v>Topaz Ventures / Topaz Capital Group</x:v>
      </x:c>
      <x:c r="C143" s="10" t="str">
        <x:v>J. Etan Friedman</x:v>
      </x:c>
      <x:c r="D143" s="10" t="str">
        <x:v>Named investor / firm principal</x:v>
      </x:c>
      <x:c r="E143" s="12" t="str"/>
      <x:c r="F143" s="12" t="str">
        <x:v>etan@topazcg.com</x:v>
      </x:c>
      <x:c r="G143" s="10" t="str">
        <x:v>published_firm_mainline</x:v>
      </x:c>
      <x:c r="H143" s="10" t="str">
        <x:v>named_published_professional_email</x:v>
      </x:c>
      <x:c r="I143" s="10" t="str">
        <x:v>Published range overlaps $500K</x:v>
      </x:c>
      <x:c r="J143" s="11" t="n">
        <x:v>360000</x:v>
      </x:c>
      <x:c r="K143" s="11" t="n">
        <x:v>1500000</x:v>
      </x:c>
      <x:c r="L143" s="10" t="str">
        <x:v>Miami Beach / South Florida; global technology hubs</x:v>
      </x:c>
      <x:c r="M143" s="10" t="str">
        <x:v>Managing Partner &amp; COO</x:v>
      </x:c>
      <x:c r="N143" s="10" t="str">
        <x:v>Conditional research prospect</x:v>
      </x:c>
      <x:c r="O143" s="13" t="str">
        <x:v>new</x:v>
      </x:c>
      <x:c r="P143" s="13" t="str"/>
      <x:c r="Q143" s="10" t="str">
        <x:v>Not contacted / unconfirmed</x:v>
      </x:c>
      <x:c r="R143" s="10" t="str">
        <x:v>unverified</x:v>
      </x:c>
      <x:c r="S143" s="10" t="str">
        <x:v>2026-09-30</x:v>
      </x:c>
      <x:c r="T143" s="10" t="str">
        <x:v>https://topazcg.com/executive-team/</x:v>
      </x:c>
      <x:c r="U143" s="10" t="str">
        <x:v>06070e5f225285</x:v>
      </x:c>
    </x:row>
    <x:row r="144" ht="55" customHeight="1">
      <x:c r="A144" s="10" t="str">
        <x:v>7580deb647650d</x:v>
      </x:c>
      <x:c r="B144" s="10" t="str">
        <x:v>1517 Fund</x:v>
      </x:c>
      <x:c r="C144" s="10" t="str"/>
      <x:c r="D144" s="10" t="str">
        <x:v>Venture / proptech firm</x:v>
      </x:c>
      <x:c r="E144" s="12" t="str"/>
      <x:c r="F144" s="12" t="str">
        <x:v>info@1517fund.com</x:v>
      </x:c>
      <x:c r="G144" s="10" t="str">
        <x:v>not_found_publicly</x:v>
      </x:c>
      <x:c r="H144" s="10" t="str">
        <x:v>firm_business_routing</x:v>
      </x:c>
      <x:c r="I144" s="10" t="str">
        <x:v>Published range overlaps $500K</x:v>
      </x:c>
      <x:c r="J144" s="11" t="n">
        <x:v>50000</x:v>
      </x:c>
      <x:c r="K144" s="11" t="n">
        <x:v>1000000</x:v>
      </x:c>
      <x:c r="L144" s="10" t="str">
        <x:v>United States; dropouts, renegade students and deep technology founders</x:v>
      </x:c>
      <x:c r="M144" s="10" t="str"/>
      <x:c r="N144" s="10" t="str">
        <x:v>Conditional research prospect</x:v>
      </x:c>
      <x:c r="O144" s="13" t="str">
        <x:v>new</x:v>
      </x:c>
      <x:c r="P144" s="13" t="str"/>
      <x:c r="Q144" s="10" t="str">
        <x:v>Not contacted / unconfirmed</x:v>
      </x:c>
      <x:c r="R144" s="10" t="str">
        <x:v>unverified</x:v>
      </x:c>
      <x:c r="S144" s="10" t="str">
        <x:v>2026-09-30</x:v>
      </x:c>
      <x:c r="T144" s="10" t="str">
        <x:v>https://1517fund.com</x:v>
      </x:c>
      <x:c r="U144" s="10" t="str">
        <x:v>d4e87bed66b842</x:v>
      </x:c>
    </x:row>
    <x:row r="145" ht="55" customHeight="1">
      <x:c r="A145" s="10" t="str">
        <x:v>e118f0b9c47259</x:v>
      </x:c>
      <x:c r="B145" s="10" t="str">
        <x:v>1864 Fund / Granite Partners</x:v>
      </x:c>
      <x:c r="C145" s="10" t="str"/>
      <x:c r="D145" s="10" t="str">
        <x:v>Venture / proptech firm</x:v>
      </x:c>
      <x:c r="E145" s="12" t="str"/>
      <x:c r="F145" s="12" t="str">
        <x:v>info@startupnv.org</x:v>
      </x:c>
      <x:c r="G145" s="10" t="str">
        <x:v>not_found_publicly</x:v>
      </x:c>
      <x:c r="H145" s="10" t="str">
        <x:v>shared_network_business_routing_not_individual_fund</x:v>
      </x:c>
      <x:c r="I145" s="10" t="str">
        <x:v>Published range overlaps $500K</x:v>
      </x:c>
      <x:c r="J145" s="11" t="n">
        <x:v>350000</x:v>
      </x:c>
      <x:c r="K145" s="11" t="n">
        <x:v>500000</x:v>
      </x:c>
      <x:c r="L145" s="10" t="str">
        <x:v>Nevada-organized fund; Nevada and other U.S. startups</x:v>
      </x:c>
      <x:c r="M145" s="10" t="str"/>
      <x:c r="N145" s="10" t="str">
        <x:v>Conditional research prospect</x:v>
      </x:c>
      <x:c r="O145" s="13" t="str">
        <x:v>new</x:v>
      </x:c>
      <x:c r="P145" s="13" t="str"/>
      <x:c r="Q145" s="10" t="str">
        <x:v>Not contacted / unconfirmed</x:v>
      </x:c>
      <x:c r="R145" s="10" t="str">
        <x:v>unverified</x:v>
      </x:c>
      <x:c r="S145" s="10" t="str">
        <x:v>2026-09-30</x:v>
      </x:c>
      <x:c r="T145" s="10" t="str">
        <x:v>https://lp.startupnv.org</x:v>
      </x:c>
      <x:c r="U145" s="10" t="str">
        <x:v>7241d63d35371a</x:v>
      </x:c>
    </x:row>
    <x:row r="146" ht="55" customHeight="1">
      <x:c r="A146" s="10" t="str">
        <x:v>0ec7c2d147c5a6</x:v>
      </x:c>
      <x:c r="B146" s="10" t="str">
        <x:v>2048 Ventures</x:v>
      </x:c>
      <x:c r="C146" s="10" t="str"/>
      <x:c r="D146" s="10" t="str">
        <x:v>Venture / proptech firm</x:v>
      </x:c>
      <x:c r="E146" s="12" t="str">
        <x:v>1 (201) 788-9030</x:v>
      </x:c>
      <x:c r="F146" s="12" t="str"/>
      <x:c r="G146" s="10" t="str">
        <x:v>Published SEC business-office routing number</x:v>
      </x:c>
      <x:c r="H146" s="10" t="str">
        <x:v>not_found_publicly</x:v>
      </x:c>
      <x:c r="I146" s="10" t="str">
        <x:v>Published range overlaps $500K</x:v>
      </x:c>
      <x:c r="J146" s="11" t="n">
        <x:v>500000</x:v>
      </x:c>
      <x:c r="K146" s="11" t="n">
        <x:v>3000000</x:v>
      </x:c>
      <x:c r="L146" s="10" t="str">
        <x:v>NYC and Boston; across United States</x:v>
      </x:c>
      <x:c r="M146" s="10" t="str"/>
      <x:c r="N146" s="10" t="str">
        <x:v>Conditional research prospect</x:v>
      </x:c>
      <x:c r="O146" s="13" t="str">
        <x:v>new</x:v>
      </x:c>
      <x:c r="P146" s="13" t="str"/>
      <x:c r="Q146" s="10" t="str">
        <x:v>Not contacted / unconfirmed</x:v>
      </x:c>
      <x:c r="R146" s="10" t="str">
        <x:v>unverified</x:v>
      </x:c>
      <x:c r="S146" s="10" t="str">
        <x:v>2026-09-30</x:v>
      </x:c>
      <x:c r="T146" s="10" t="str">
        <x:v>https://www.2048.vc</x:v>
      </x:c>
      <x:c r="U146" s="10" t="str">
        <x:v>c3c5e3cf194774</x:v>
      </x:c>
    </x:row>
    <x:row r="147" ht="55" customHeight="1">
      <x:c r="A147" s="10" t="str">
        <x:v>edfb87e19927c7</x:v>
      </x:c>
      <x:c r="B147" s="10" t="str">
        <x:v>Access Venture Partners</x:v>
      </x:c>
      <x:c r="C147" s="10" t="str"/>
      <x:c r="D147" s="10" t="str">
        <x:v>Venture / proptech firm</x:v>
      </x:c>
      <x:c r="E147" s="12" t="str">
        <x:v>1 (303) 426-8899</x:v>
      </x:c>
      <x:c r="F147" s="12" t="str"/>
      <x:c r="G147" s="10" t="str">
        <x:v>Published SEC business-office routing number</x:v>
      </x:c>
      <x:c r="H147" s="10" t="str">
        <x:v>not_found_publicly</x:v>
      </x:c>
      <x:c r="I147" s="10" t="str">
        <x:v>Published range overlaps $500K</x:v>
      </x:c>
      <x:c r="J147" s="11" t="n">
        <x:v>500000</x:v>
      </x:c>
      <x:c r="K147" s="11" t="n">
        <x:v>4000000</x:v>
      </x:c>
      <x:c r="L147" s="10" t="str">
        <x:v>Colorado / United States</x:v>
      </x:c>
      <x:c r="M147" s="10" t="str"/>
      <x:c r="N147" s="10" t="str">
        <x:v>Conditional research prospect</x:v>
      </x:c>
      <x:c r="O147" s="13" t="str">
        <x:v>new</x:v>
      </x:c>
      <x:c r="P147" s="13" t="str"/>
      <x:c r="Q147" s="10" t="str">
        <x:v>Not contacted / unconfirmed</x:v>
      </x:c>
      <x:c r="R147" s="10" t="str">
        <x:v>unverified</x:v>
      </x:c>
      <x:c r="S147" s="10" t="str">
        <x:v>2026-09-30</x:v>
      </x:c>
      <x:c r="T147" s="10" t="str">
        <x:v>https://accessvp.com</x:v>
      </x:c>
      <x:c r="U147" s="10" t="str">
        <x:v>5bf704205f4b2e</x:v>
      </x:c>
    </x:row>
    <x:row r="148" ht="40" customHeight="1">
      <x:c r="A148" s="10" t="str">
        <x:v>5d2b4ac01adf72</x:v>
      </x:c>
      <x:c r="B148" s="10" t="str">
        <x:v>Active Capital</x:v>
      </x:c>
      <x:c r="C148" s="10" t="str"/>
      <x:c r="D148" s="10" t="str">
        <x:v>Venture / proptech firm</x:v>
      </x:c>
      <x:c r="E148" s="12" t="str"/>
      <x:c r="F148" s="12" t="str">
        <x:v>team@active.vc</x:v>
      </x:c>
      <x:c r="G148" s="10" t="str">
        <x:v>not_found_publicly</x:v>
      </x:c>
      <x:c r="H148" s="10" t="str">
        <x:v>firm_business_routing</x:v>
      </x:c>
      <x:c r="I148" s="10" t="str">
        <x:v>Published range overlaps $500K</x:v>
      </x:c>
      <x:c r="J148" s="11" t="n">
        <x:v>100000</x:v>
      </x:c>
      <x:c r="K148" s="11" t="n">
        <x:v>1000000</x:v>
      </x:c>
      <x:c r="L148" s="10" t="str">
        <x:v>Building in the United States</x:v>
      </x:c>
      <x:c r="M148" s="10" t="str"/>
      <x:c r="N148" s="10" t="str">
        <x:v>Conditional research prospect</x:v>
      </x:c>
      <x:c r="O148" s="13" t="str">
        <x:v>new</x:v>
      </x:c>
      <x:c r="P148" s="13" t="str"/>
      <x:c r="Q148" s="10" t="str">
        <x:v>Not contacted / unconfirmed</x:v>
      </x:c>
      <x:c r="R148" s="10" t="str">
        <x:v>unverified</x:v>
      </x:c>
      <x:c r="S148" s="10" t="str">
        <x:v>2026-09-30</x:v>
      </x:c>
      <x:c r="T148" s="10" t="str">
        <x:v>https://active.vc</x:v>
      </x:c>
      <x:c r="U148" s="10" t="str">
        <x:v>0e4b966eca3ecb</x:v>
      </x:c>
    </x:row>
    <x:row r="149" ht="55" customHeight="1">
      <x:c r="A149" s="10" t="str">
        <x:v>ddbbea7b8e23f5</x:v>
      </x:c>
      <x:c r="B149" s="10" t="str">
        <x:v>Antler US</x:v>
      </x:c>
      <x:c r="C149" s="10" t="str"/>
      <x:c r="D149" s="10" t="str">
        <x:v>Venture / proptech firm</x:v>
      </x:c>
      <x:c r="E149" s="12" t="str">
        <x:v>1 (929) 581-8155</x:v>
      </x:c>
      <x:c r="F149" s="12" t="str"/>
      <x:c r="G149" s="10" t="str">
        <x:v>Published SEC business-office routing number</x:v>
      </x:c>
      <x:c r="H149" s="10" t="str">
        <x:v>not_found_publicly</x:v>
      </x:c>
      <x:c r="I149" s="10" t="str">
        <x:v>Published range overlaps $500K</x:v>
      </x:c>
      <x:c r="J149" s="11" t="n">
        <x:v>500000</x:v>
      </x:c>
      <x:c r="K149" s="11" t="n">
        <x:v>1000000</x:v>
      </x:c>
      <x:c r="L149" s="10" t="str">
        <x:v>NYC, San Francisco, Austin, United States</x:v>
      </x:c>
      <x:c r="M149" s="10" t="str"/>
      <x:c r="N149" s="10" t="str">
        <x:v>Conditional research prospect</x:v>
      </x:c>
      <x:c r="O149" s="13" t="str">
        <x:v>new</x:v>
      </x:c>
      <x:c r="P149" s="13" t="str"/>
      <x:c r="Q149" s="10" t="str">
        <x:v>Not contacted / unconfirmed</x:v>
      </x:c>
      <x:c r="R149" s="10" t="str">
        <x:v>unverified</x:v>
      </x:c>
      <x:c r="S149" s="10" t="str">
        <x:v>2026-09-30</x:v>
      </x:c>
      <x:c r="T149" s="10" t="str">
        <x:v>https://www.antler.co</x:v>
      </x:c>
      <x:c r="U149" s="10" t="str">
        <x:v>3fb36e8138e7b7</x:v>
      </x:c>
    </x:row>
    <x:row r="150" ht="55" customHeight="1">
      <x:c r="A150" s="10" t="str">
        <x:v>747ae987b6246a</x:v>
      </x:c>
      <x:c r="B150" s="10" t="str">
        <x:v>Beckett Industries</x:v>
      </x:c>
      <x:c r="C150" s="10" t="str"/>
      <x:c r="D150" s="10" t="str">
        <x:v>Venture / proptech firm</x:v>
      </x:c>
      <x:c r="E150" s="12" t="str"/>
      <x:c r="F150" s="12" t="str">
        <x:v>ir@beckettindustries.com</x:v>
      </x:c>
      <x:c r="G150" s="10" t="str">
        <x:v>not_found_publicly</x:v>
      </x:c>
      <x:c r="H150" s="10" t="str">
        <x:v>investor_relations_routing_not_deal_decision_maker</x:v>
      </x:c>
      <x:c r="I150" s="10" t="str">
        <x:v>Published range overlaps $500K</x:v>
      </x:c>
      <x:c r="J150" s="11" t="n">
        <x:v>250000</x:v>
      </x:c>
      <x:c r="K150" s="11" t="n">
        <x:v>2000000</x:v>
      </x:c>
      <x:c r="L150" s="10" t="str">
        <x:v>Grand Rapids, Michigan; national U.S. presence</x:v>
      </x:c>
      <x:c r="M150" s="10" t="str"/>
      <x:c r="N150" s="10" t="str">
        <x:v>Conditional research prospect</x:v>
      </x:c>
      <x:c r="O150" s="13" t="str">
        <x:v>new</x:v>
      </x:c>
      <x:c r="P150" s="13" t="str"/>
      <x:c r="Q150" s="10" t="str">
        <x:v>Not contacted / unconfirmed</x:v>
      </x:c>
      <x:c r="R150" s="10" t="str">
        <x:v>unverified</x:v>
      </x:c>
      <x:c r="S150" s="10" t="str">
        <x:v>2026-09-30</x:v>
      </x:c>
      <x:c r="T150" s="10" t="str">
        <x:v>https://beckettindustries.com</x:v>
      </x:c>
      <x:c r="U150" s="10" t="str">
        <x:v>ca76d6b259dc7c</x:v>
      </x:c>
    </x:row>
    <x:row r="151" ht="55" customHeight="1">
      <x:c r="A151" s="10" t="str">
        <x:v>be9a5234a279c8</x:v>
      </x:c>
      <x:c r="B151" s="10" t="str">
        <x:v>Beta Boom</x:v>
      </x:c>
      <x:c r="C151" s="10" t="str"/>
      <x:c r="D151" s="10" t="str">
        <x:v>Venture / proptech firm</x:v>
      </x:c>
      <x:c r="E151" s="12" t="str"/>
      <x:c r="F151" s="12" t="str"/>
      <x:c r="G151" s="10" t="str">
        <x:v>not_found_publicly</x:v>
      </x:c>
      <x:c r="H151" s="10" t="str">
        <x:v>not_found_publicly</x:v>
      </x:c>
      <x:c r="I151" s="10" t="str">
        <x:v>Published range overlaps $500K</x:v>
      </x:c>
      <x:c r="J151" s="11" t="n">
        <x:v>350000</x:v>
      </x:c>
      <x:c r="K151" s="11" t="n">
        <x:v>500000</x:v>
      </x:c>
      <x:c r="L151" s="10" t="str">
        <x:v>Salt Lake City, Utah; U.S. companies outside San Francisco Bay Area</x:v>
      </x:c>
      <x:c r="M151" s="10" t="str"/>
      <x:c r="N151" s="10" t="str">
        <x:v>Conditional research prospect</x:v>
      </x:c>
      <x:c r="O151" s="13" t="str">
        <x:v>new</x:v>
      </x:c>
      <x:c r="P151" s="13" t="str"/>
      <x:c r="Q151" s="10" t="str">
        <x:v>Not contacted / unconfirmed</x:v>
      </x:c>
      <x:c r="R151" s="10" t="str">
        <x:v>unverified</x:v>
      </x:c>
      <x:c r="S151" s="10" t="str">
        <x:v>2026-09-30</x:v>
      </x:c>
      <x:c r="T151" s="10" t="str">
        <x:v>https://www.betaboom.com</x:v>
      </x:c>
      <x:c r="U151" s="10" t="str">
        <x:v>a6fa01b3f1fe8c</x:v>
      </x:c>
    </x:row>
    <x:row r="152" ht="55" customHeight="1">
      <x:c r="A152" s="10" t="str">
        <x:v>29c7f61d4407b4</x:v>
      </x:c>
      <x:c r="B152" s="10" t="str">
        <x:v>Boost VC</x:v>
      </x:c>
      <x:c r="C152" s="10" t="str"/>
      <x:c r="D152" s="10" t="str">
        <x:v>Venture / proptech firm</x:v>
      </x:c>
      <x:c r="E152" s="12" t="str">
        <x:v>1 (650) 458-7039</x:v>
      </x:c>
      <x:c r="F152" s="12" t="str"/>
      <x:c r="G152" s="10" t="str">
        <x:v>Published SEC business-office routing number</x:v>
      </x:c>
      <x:c r="H152" s="10" t="str">
        <x:v>not_found_publicly</x:v>
      </x:c>
      <x:c r="I152" s="10" t="str">
        <x:v>Published range overlaps $500K</x:v>
      </x:c>
      <x:c r="J152" s="11" t="n">
        <x:v>100000</x:v>
      </x:c>
      <x:c r="K152" s="11" t="n">
        <x:v>1000000</x:v>
      </x:c>
      <x:c r="L152" s="10" t="str">
        <x:v>Silicon Valley, United States</x:v>
      </x:c>
      <x:c r="M152" s="10" t="str"/>
      <x:c r="N152" s="10" t="str">
        <x:v>Conditional research prospect</x:v>
      </x:c>
      <x:c r="O152" s="13" t="str">
        <x:v>new</x:v>
      </x:c>
      <x:c r="P152" s="13" t="str"/>
      <x:c r="Q152" s="10" t="str">
        <x:v>Not contacted / unconfirmed</x:v>
      </x:c>
      <x:c r="R152" s="10" t="str">
        <x:v>unverified</x:v>
      </x:c>
      <x:c r="S152" s="10" t="str">
        <x:v>2026-09-30</x:v>
      </x:c>
      <x:c r="T152" s="10" t="str">
        <x:v>https://www.boost.vc</x:v>
      </x:c>
      <x:c r="U152" s="10" t="str">
        <x:v>6341536a6ed737</x:v>
      </x:c>
    </x:row>
    <x:row r="153" ht="40" customHeight="1">
      <x:c r="A153" s="10" t="str">
        <x:v>eeb57cd1d90999</x:v>
      </x:c>
      <x:c r="B153" s="10" t="str">
        <x:v>Chatham Ventures</x:v>
      </x:c>
      <x:c r="C153" s="10" t="str"/>
      <x:c r="D153" s="10" t="str">
        <x:v>Venture / proptech firm</x:v>
      </x:c>
      <x:c r="E153" s="12" t="str"/>
      <x:c r="F153" s="12" t="str"/>
      <x:c r="G153" s="10" t="str">
        <x:v>not_found_publicly</x:v>
      </x:c>
      <x:c r="H153" s="10" t="str">
        <x:v>not_found_publicly</x:v>
      </x:c>
      <x:c r="I153" s="10" t="str">
        <x:v>Published range overlaps $500K</x:v>
      </x:c>
      <x:c r="J153" s="11" t="n">
        <x:v>250000</x:v>
      </x:c>
      <x:c r="K153" s="11" t="n">
        <x:v>1000000</x:v>
      </x:c>
      <x:c r="L153" s="10" t="str">
        <x:v>Primarily Midwest United States</x:v>
      </x:c>
      <x:c r="M153" s="10" t="str"/>
      <x:c r="N153" s="10" t="str">
        <x:v>Conditional research prospect</x:v>
      </x:c>
      <x:c r="O153" s="13" t="str">
        <x:v>new</x:v>
      </x:c>
      <x:c r="P153" s="13" t="str"/>
      <x:c r="Q153" s="10" t="str">
        <x:v>Not contacted / unconfirmed</x:v>
      </x:c>
      <x:c r="R153" s="10" t="str">
        <x:v>unverified</x:v>
      </x:c>
      <x:c r="S153" s="10" t="str">
        <x:v>2026-09-30</x:v>
      </x:c>
      <x:c r="T153" s="10" t="str">
        <x:v>https://www.chathamvp.com</x:v>
      </x:c>
      <x:c r="U153" s="10" t="str">
        <x:v>71870ef2dc8e39</x:v>
      </x:c>
    </x:row>
    <x:row r="154" ht="40" customHeight="1">
      <x:c r="A154" s="10" t="str">
        <x:v>820289b0695da6</x:v>
      </x:c>
      <x:c r="B154" s="10" t="str">
        <x:v>Eudemian Ventures</x:v>
      </x:c>
      <x:c r="C154" s="10" t="str"/>
      <x:c r="D154" s="10" t="str">
        <x:v>Venture / proptech firm</x:v>
      </x:c>
      <x:c r="E154" s="12" t="str"/>
      <x:c r="F154" s="12" t="str"/>
      <x:c r="G154" s="10" t="str">
        <x:v>not_found_publicly</x:v>
      </x:c>
      <x:c r="H154" s="10" t="str">
        <x:v>not_found_publicly</x:v>
      </x:c>
      <x:c r="I154" s="10" t="str">
        <x:v>Published range overlaps $500K</x:v>
      </x:c>
      <x:c r="J154" s="11" t="n">
        <x:v>250000</x:v>
      </x:c>
      <x:c r="K154" s="11" t="n">
        <x:v>1000000</x:v>
      </x:c>
      <x:c r="L154" s="10" t="str">
        <x:v>Silicon Valley / Europe venture platform</x:v>
      </x:c>
      <x:c r="M154" s="10" t="str"/>
      <x:c r="N154" s="10" t="str">
        <x:v>Conditional research prospect</x:v>
      </x:c>
      <x:c r="O154" s="13" t="str">
        <x:v>new</x:v>
      </x:c>
      <x:c r="P154" s="13" t="str"/>
      <x:c r="Q154" s="10" t="str">
        <x:v>Not contacted / unconfirmed</x:v>
      </x:c>
      <x:c r="R154" s="10" t="str">
        <x:v>unverified</x:v>
      </x:c>
      <x:c r="S154" s="10" t="str">
        <x:v>2026-09-30</x:v>
      </x:c>
      <x:c r="T154" s="10" t="str">
        <x:v>https://www.eudemian.vc</x:v>
      </x:c>
      <x:c r="U154" s="10" t="str">
        <x:v>b4ac8588a1e49b</x:v>
      </x:c>
    </x:row>
    <x:row r="155" ht="40" customHeight="1">
      <x:c r="A155" s="10" t="str">
        <x:v>0b67d9f48a5000</x:v>
      </x:c>
      <x:c r="B155" s="10" t="str">
        <x:v>Fathers Fund</x:v>
      </x:c>
      <x:c r="C155" s="10" t="str"/>
      <x:c r="D155" s="10" t="str">
        <x:v>Venture / proptech firm</x:v>
      </x:c>
      <x:c r="E155" s="12" t="str"/>
      <x:c r="F155" s="12" t="str">
        <x:v>contact@fathers.fund</x:v>
      </x:c>
      <x:c r="G155" s="10" t="str">
        <x:v>not_found_publicly</x:v>
      </x:c>
      <x:c r="H155" s="10" t="str">
        <x:v>firm_business_routing</x:v>
      </x:c>
      <x:c r="I155" s="10" t="str">
        <x:v>Published range overlaps $500K</x:v>
      </x:c>
      <x:c r="J155" s="11" t="n">
        <x:v>250000</x:v>
      </x:c>
      <x:c r="K155" s="11" t="n">
        <x:v>1000000</x:v>
      </x:c>
      <x:c r="L155" s="10" t="str">
        <x:v>San Francisco, United States</x:v>
      </x:c>
      <x:c r="M155" s="10" t="str"/>
      <x:c r="N155" s="10" t="str">
        <x:v>Conditional research prospect</x:v>
      </x:c>
      <x:c r="O155" s="13" t="str">
        <x:v>new</x:v>
      </x:c>
      <x:c r="P155" s="13" t="str"/>
      <x:c r="Q155" s="10" t="str">
        <x:v>Not contacted / unconfirmed</x:v>
      </x:c>
      <x:c r="R155" s="10" t="str">
        <x:v>unverified</x:v>
      </x:c>
      <x:c r="S155" s="10" t="str">
        <x:v>2026-09-30</x:v>
      </x:c>
      <x:c r="T155" s="10" t="str">
        <x:v>https://www.fathers.fund</x:v>
      </x:c>
      <x:c r="U155" s="10" t="str">
        <x:v>8982dd7ab0f19e</x:v>
      </x:c>
    </x:row>
    <x:row r="156" ht="55" customHeight="1">
      <x:c r="A156" s="10" t="str">
        <x:v>6c5eac1584c51c</x:v>
      </x:c>
      <x:c r="B156" s="10" t="str">
        <x:v>Great North Ventures</x:v>
      </x:c>
      <x:c r="C156" s="10" t="str"/>
      <x:c r="D156" s="10" t="str">
        <x:v>Venture / proptech firm</x:v>
      </x:c>
      <x:c r="E156" s="12" t="str">
        <x:v>1 (320) 224-6028</x:v>
      </x:c>
      <x:c r="F156" s="12" t="str"/>
      <x:c r="G156" s="10" t="str">
        <x:v>Published SEC business-office routing number</x:v>
      </x:c>
      <x:c r="H156" s="10" t="str">
        <x:v>not_found_publicly</x:v>
      </x:c>
      <x:c r="I156" s="10" t="str">
        <x:v>Published range overlaps $500K</x:v>
      </x:c>
      <x:c r="J156" s="11" t="n">
        <x:v>250000</x:v>
      </x:c>
      <x:c r="K156" s="11" t="n">
        <x:v>1000000</x:v>
      </x:c>
      <x:c r="L156" s="10" t="str">
        <x:v>Minnesota / United States; underserved venture markets</x:v>
      </x:c>
      <x:c r="M156" s="10" t="str"/>
      <x:c r="N156" s="10" t="str">
        <x:v>Conditional research prospect</x:v>
      </x:c>
      <x:c r="O156" s="13" t="str">
        <x:v>new</x:v>
      </x:c>
      <x:c r="P156" s="13" t="str"/>
      <x:c r="Q156" s="10" t="str">
        <x:v>Not contacted / unconfirmed</x:v>
      </x:c>
      <x:c r="R156" s="10" t="str">
        <x:v>unverified</x:v>
      </x:c>
      <x:c r="S156" s="10" t="str">
        <x:v>2026-09-30</x:v>
      </x:c>
      <x:c r="T156" s="10" t="str">
        <x:v>https://greatnorthventures.com</x:v>
      </x:c>
      <x:c r="U156" s="10" t="str">
        <x:v>8b38a7fd47d5a9</x:v>
      </x:c>
    </x:row>
    <x:row r="157" ht="40" customHeight="1">
      <x:c r="A157" s="10" t="str">
        <x:v>7e82b6c77336db</x:v>
      </x:c>
      <x:c r="B157" s="10" t="str">
        <x:v>Hico Ventures</x:v>
      </x:c>
      <x:c r="C157" s="10" t="str"/>
      <x:c r="D157" s="10" t="str">
        <x:v>Venture / proptech firm</x:v>
      </x:c>
      <x:c r="E157" s="12" t="str"/>
      <x:c r="F157" s="12" t="str"/>
      <x:c r="G157" s="10" t="str">
        <x:v>not_found_publicly</x:v>
      </x:c>
      <x:c r="H157" s="10" t="str">
        <x:v>not_found_publicly</x:v>
      </x:c>
      <x:c r="I157" s="10" t="str">
        <x:v>Published range overlaps $500K</x:v>
      </x:c>
      <x:c r="J157" s="11" t="n">
        <x:v>250000</x:v>
      </x:c>
      <x:c r="K157" s="11" t="n">
        <x:v>1000000</x:v>
      </x:c>
      <x:c r="L157" s="10" t="str">
        <x:v>Silicon Valley office; geography agnostic</x:v>
      </x:c>
      <x:c r="M157" s="10" t="str"/>
      <x:c r="N157" s="10" t="str">
        <x:v>Conditional research prospect</x:v>
      </x:c>
      <x:c r="O157" s="13" t="str">
        <x:v>new</x:v>
      </x:c>
      <x:c r="P157" s="13" t="str"/>
      <x:c r="Q157" s="10" t="str">
        <x:v>Not contacted / unconfirmed</x:v>
      </x:c>
      <x:c r="R157" s="10" t="str">
        <x:v>unverified</x:v>
      </x:c>
      <x:c r="S157" s="10" t="str">
        <x:v>2026-09-30</x:v>
      </x:c>
      <x:c r="T157" s="10" t="str">
        <x:v>https://hico.vc</x:v>
      </x:c>
      <x:c r="U157" s="10" t="str">
        <x:v>c7bc7e8ab7644e</x:v>
      </x:c>
    </x:row>
    <x:row r="158" ht="55" customHeight="1">
      <x:c r="A158" s="10" t="str">
        <x:v>98955958621f4c</x:v>
      </x:c>
      <x:c r="B158" s="10" t="str">
        <x:v>Homegrown Capital</x:v>
      </x:c>
      <x:c r="C158" s="10" t="str"/>
      <x:c r="D158" s="10" t="str">
        <x:v>Venture / proptech firm</x:v>
      </x:c>
      <x:c r="E158" s="12" t="str"/>
      <x:c r="F158" s="12" t="str"/>
      <x:c r="G158" s="10" t="str">
        <x:v>not_found_publicly</x:v>
      </x:c>
      <x:c r="H158" s="10" t="str">
        <x:v>not_found_publicly</x:v>
      </x:c>
      <x:c r="I158" s="10" t="str">
        <x:v>Published range overlaps $500K</x:v>
      </x:c>
      <x:c r="J158" s="11" t="n">
        <x:v>500000</x:v>
      </x:c>
      <x:c r="K158" s="11" t="n">
        <x:v>2000000</x:v>
      </x:c>
      <x:c r="L158" s="10" t="str">
        <x:v>Midwest and Northern Plains; Brookings, South Dakota</x:v>
      </x:c>
      <x:c r="M158" s="10" t="str"/>
      <x:c r="N158" s="10" t="str">
        <x:v>Conditional research prospect</x:v>
      </x:c>
      <x:c r="O158" s="13" t="str">
        <x:v>new</x:v>
      </x:c>
      <x:c r="P158" s="13" t="str"/>
      <x:c r="Q158" s="10" t="str">
        <x:v>Not contacted / unconfirmed</x:v>
      </x:c>
      <x:c r="R158" s="10" t="str">
        <x:v>unverified</x:v>
      </x:c>
      <x:c r="S158" s="10" t="str">
        <x:v>2026-09-30</x:v>
      </x:c>
      <x:c r="T158" s="10" t="str">
        <x:v>https://homegrown.capital</x:v>
      </x:c>
      <x:c r="U158" s="10" t="str">
        <x:v>dba23803ea3214</x:v>
      </x:c>
    </x:row>
    <x:row r="159" ht="40" customHeight="1">
      <x:c r="A159" s="10" t="str">
        <x:v>75aa260d3b7af3</x:v>
      </x:c>
      <x:c r="B159" s="10" t="str">
        <x:v>JCG Capital</x:v>
      </x:c>
      <x:c r="C159" s="10" t="str"/>
      <x:c r="D159" s="10" t="str">
        <x:v>Venture / proptech firm</x:v>
      </x:c>
      <x:c r="E159" s="12" t="str"/>
      <x:c r="F159" s="12" t="str"/>
      <x:c r="G159" s="10" t="str">
        <x:v>not_found_publicly</x:v>
      </x:c>
      <x:c r="H159" s="10" t="str">
        <x:v>not_found_publicly</x:v>
      </x:c>
      <x:c r="I159" s="10" t="str">
        <x:v>Published range overlaps $500K</x:v>
      </x:c>
      <x:c r="J159" s="11" t="n">
        <x:v>50000</x:v>
      </x:c>
      <x:c r="K159" s="11" t="n">
        <x:v>500000</x:v>
      </x:c>
      <x:c r="L159" s="10" t="str">
        <x:v>Stamford, Connecticut</x:v>
      </x:c>
      <x:c r="M159" s="10" t="str"/>
      <x:c r="N159" s="10" t="str">
        <x:v>Conditional research prospect</x:v>
      </x:c>
      <x:c r="O159" s="13" t="str">
        <x:v>new</x:v>
      </x:c>
      <x:c r="P159" s="13" t="str"/>
      <x:c r="Q159" s="10" t="str">
        <x:v>Not contacted / unconfirmed</x:v>
      </x:c>
      <x:c r="R159" s="10" t="str">
        <x:v>unverified</x:v>
      </x:c>
      <x:c r="S159" s="10" t="str">
        <x:v>2026-09-30</x:v>
      </x:c>
      <x:c r="T159" s="10" t="str">
        <x:v>https://jcgcapital.llc</x:v>
      </x:c>
      <x:c r="U159" s="10" t="str">
        <x:v>41d32e4058b98d</x:v>
      </x:c>
    </x:row>
    <x:row r="160" ht="55" customHeight="1">
      <x:c r="A160" s="10" t="str">
        <x:v>df7f79f74af197</x:v>
      </x:c>
      <x:c r="B160" s="10" t="str">
        <x:v>Kickstart</x:v>
      </x:c>
      <x:c r="C160" s="10" t="str"/>
      <x:c r="D160" s="10" t="str">
        <x:v>Venture / proptech firm</x:v>
      </x:c>
      <x:c r="E160" s="12" t="str">
        <x:v>1 (801) 308-0440</x:v>
      </x:c>
      <x:c r="F160" s="12" t="str"/>
      <x:c r="G160" s="10" t="str">
        <x:v>Published SEC business-office routing number</x:v>
      </x:c>
      <x:c r="H160" s="10" t="str">
        <x:v>not_found_publicly</x:v>
      </x:c>
      <x:c r="I160" s="10" t="str">
        <x:v>Published range overlaps $500K</x:v>
      </x:c>
      <x:c r="J160" s="11" t="n">
        <x:v>500000</x:v>
      </x:c>
      <x:c r="K160" s="11" t="n">
        <x:v>4000000</x:v>
      </x:c>
      <x:c r="L160" s="10" t="str">
        <x:v>Utah, Colorado and Mountain West</x:v>
      </x:c>
      <x:c r="M160" s="10" t="str"/>
      <x:c r="N160" s="10" t="str">
        <x:v>Conditional research prospect</x:v>
      </x:c>
      <x:c r="O160" s="13" t="str">
        <x:v>new</x:v>
      </x:c>
      <x:c r="P160" s="13" t="str"/>
      <x:c r="Q160" s="10" t="str">
        <x:v>Not contacted / unconfirmed</x:v>
      </x:c>
      <x:c r="R160" s="10" t="str">
        <x:v>unverified</x:v>
      </x:c>
      <x:c r="S160" s="10" t="str">
        <x:v>2026-09-30</x:v>
      </x:c>
      <x:c r="T160" s="10" t="str">
        <x:v>https://kickstart.com</x:v>
      </x:c>
      <x:c r="U160" s="10" t="str">
        <x:v>ec601ba8d07d31</x:v>
      </x:c>
    </x:row>
    <x:row r="161" ht="55" customHeight="1">
      <x:c r="A161" s="10" t="str">
        <x:v>1fb70ccdec255a</x:v>
      </x:c>
      <x:c r="B161" s="10" t="str">
        <x:v>Motivate Venture Capital</x:v>
      </x:c>
      <x:c r="C161" s="10" t="str"/>
      <x:c r="D161" s="10" t="str">
        <x:v>Venture / proptech firm</x:v>
      </x:c>
      <x:c r="E161" s="12" t="str">
        <x:v>1 (312) 857-8380</x:v>
      </x:c>
      <x:c r="F161" s="12" t="str"/>
      <x:c r="G161" s="10" t="str">
        <x:v>Published SEC business-office routing number</x:v>
      </x:c>
      <x:c r="H161" s="10" t="str">
        <x:v>not_found_publicly</x:v>
      </x:c>
      <x:c r="I161" s="10" t="str">
        <x:v>Published range overlaps $500K</x:v>
      </x:c>
      <x:c r="J161" s="11" t="n">
        <x:v>250000</x:v>
      </x:c>
      <x:c r="K161" s="11" t="n">
        <x:v>1000000</x:v>
      </x:c>
      <x:c r="L161" s="10" t="str">
        <x:v>Chicago, Illinois</x:v>
      </x:c>
      <x:c r="M161" s="10" t="str"/>
      <x:c r="N161" s="10" t="str">
        <x:v>Conditional research prospect</x:v>
      </x:c>
      <x:c r="O161" s="13" t="str">
        <x:v>new</x:v>
      </x:c>
      <x:c r="P161" s="13" t="str"/>
      <x:c r="Q161" s="10" t="str">
        <x:v>Not contacted / unconfirmed</x:v>
      </x:c>
      <x:c r="R161" s="10" t="str">
        <x:v>unverified</x:v>
      </x:c>
      <x:c r="S161" s="10" t="str">
        <x:v>2026-09-30</x:v>
      </x:c>
      <x:c r="T161" s="10" t="str">
        <x:v>https://www.motivate.vc</x:v>
      </x:c>
      <x:c r="U161" s="10" t="str">
        <x:v>712733b04d32f4</x:v>
      </x:c>
    </x:row>
    <x:row r="162" ht="55" customHeight="1">
      <x:c r="A162" s="10" t="str">
        <x:v>d6a87bb6835ffe</x:v>
      </x:c>
      <x:c r="B162" s="10" t="str">
        <x:v>New Stack Ventures</x:v>
      </x:c>
      <x:c r="C162" s="10" t="str"/>
      <x:c r="D162" s="10" t="str">
        <x:v>Venture / proptech firm</x:v>
      </x:c>
      <x:c r="E162" s="12" t="str">
        <x:v>1 (312) 804-3306</x:v>
      </x:c>
      <x:c r="F162" s="12" t="str"/>
      <x:c r="G162" s="10" t="str">
        <x:v>Published SEC business-office routing number</x:v>
      </x:c>
      <x:c r="H162" s="10" t="str">
        <x:v>not_found_publicly</x:v>
      </x:c>
      <x:c r="I162" s="10" t="str">
        <x:v>Published range overlaps $500K</x:v>
      </x:c>
      <x:c r="J162" s="11" t="n">
        <x:v>500000</x:v>
      </x:c>
      <x:c r="K162" s="11" t="n">
        <x:v>1500000</x:v>
      </x:c>
      <x:c r="L162" s="10" t="str">
        <x:v>Chicago, United States</x:v>
      </x:c>
      <x:c r="M162" s="10" t="str"/>
      <x:c r="N162" s="10" t="str">
        <x:v>Conditional research prospect</x:v>
      </x:c>
      <x:c r="O162" s="13" t="str">
        <x:v>new</x:v>
      </x:c>
      <x:c r="P162" s="13" t="str"/>
      <x:c r="Q162" s="10" t="str">
        <x:v>Not contacted / unconfirmed</x:v>
      </x:c>
      <x:c r="R162" s="10" t="str">
        <x:v>unverified</x:v>
      </x:c>
      <x:c r="S162" s="10" t="str">
        <x:v>2026-09-30</x:v>
      </x:c>
      <x:c r="T162" s="10" t="str">
        <x:v>https://www.newstack.com</x:v>
      </x:c>
      <x:c r="U162" s="10" t="str">
        <x:v>8e4b76f9e45f43</x:v>
      </x:c>
    </x:row>
    <x:row r="163" ht="55" customHeight="1">
      <x:c r="A163" s="10" t="str">
        <x:v>f7f21fe2fc3c7e</x:v>
      </x:c>
      <x:c r="B163" s="10" t="str">
        <x:v>OpAmp Capital</x:v>
      </x:c>
      <x:c r="C163" s="10" t="str"/>
      <x:c r="D163" s="10" t="str">
        <x:v>Venture / proptech firm</x:v>
      </x:c>
      <x:c r="E163" s="12" t="str"/>
      <x:c r="F163" s="12" t="str"/>
      <x:c r="G163" s="10" t="str">
        <x:v>not_found_publicly</x:v>
      </x:c>
      <x:c r="H163" s="10" t="str">
        <x:v>not_found_publicly</x:v>
      </x:c>
      <x:c r="I163" s="10" t="str">
        <x:v>Published range overlaps $500K</x:v>
      </x:c>
      <x:c r="J163" s="11" t="n">
        <x:v>250000</x:v>
      </x:c>
      <x:c r="K163" s="11" t="n">
        <x:v>500000</x:v>
      </x:c>
      <x:c r="L163" s="10" t="str">
        <x:v>McLean, Virginia; Los Angeles, California; Taipei, Taiwan</x:v>
      </x:c>
      <x:c r="M163" s="10" t="str"/>
      <x:c r="N163" s="10" t="str">
        <x:v>Conditional research prospect</x:v>
      </x:c>
      <x:c r="O163" s="13" t="str">
        <x:v>new</x:v>
      </x:c>
      <x:c r="P163" s="13" t="str"/>
      <x:c r="Q163" s="10" t="str">
        <x:v>Not contacted / unconfirmed</x:v>
      </x:c>
      <x:c r="R163" s="10" t="str">
        <x:v>unverified</x:v>
      </x:c>
      <x:c r="S163" s="10" t="str">
        <x:v>2026-09-30</x:v>
      </x:c>
      <x:c r="T163" s="10" t="str">
        <x:v>https://www.opampcap.com</x:v>
      </x:c>
      <x:c r="U163" s="10" t="str">
        <x:v>436816f6b88eda</x:v>
      </x:c>
    </x:row>
    <x:row r="164" ht="55" customHeight="1">
      <x:c r="A164" s="10" t="str">
        <x:v>b27be08056828c</x:v>
      </x:c>
      <x:c r="B164" s="10" t="str">
        <x:v>ScOp Venture Capital</x:v>
      </x:c>
      <x:c r="C164" s="10" t="str"/>
      <x:c r="D164" s="10" t="str">
        <x:v>Venture / proptech firm</x:v>
      </x:c>
      <x:c r="E164" s="12" t="str">
        <x:v>1 (805) 729-0850</x:v>
      </x:c>
      <x:c r="F164" s="12" t="str"/>
      <x:c r="G164" s="10" t="str">
        <x:v>Published SEC business-office routing number</x:v>
      </x:c>
      <x:c r="H164" s="10" t="str">
        <x:v>not_found_publicly</x:v>
      </x:c>
      <x:c r="I164" s="10" t="str">
        <x:v>Published range overlaps $500K</x:v>
      </x:c>
      <x:c r="J164" s="11" t="n">
        <x:v>500000</x:v>
      </x:c>
      <x:c r="K164" s="11" t="n">
        <x:v>3500000</x:v>
      </x:c>
      <x:c r="L164" s="10" t="str">
        <x:v>Santa Barbara, California</x:v>
      </x:c>
      <x:c r="M164" s="10" t="str"/>
      <x:c r="N164" s="10" t="str">
        <x:v>Conditional research prospect</x:v>
      </x:c>
      <x:c r="O164" s="13" t="str">
        <x:v>new</x:v>
      </x:c>
      <x:c r="P164" s="13" t="str"/>
      <x:c r="Q164" s="10" t="str">
        <x:v>Not contacted / unconfirmed</x:v>
      </x:c>
      <x:c r="R164" s="10" t="str">
        <x:v>unverified</x:v>
      </x:c>
      <x:c r="S164" s="10" t="str">
        <x:v>2026-09-30</x:v>
      </x:c>
      <x:c r="T164" s="10" t="str">
        <x:v>https://scopvc.com</x:v>
      </x:c>
      <x:c r="U164" s="10" t="str">
        <x:v>e80c0ad156a717</x:v>
      </x:c>
    </x:row>
    <x:row r="165" ht="40" customHeight="1">
      <x:c r="A165" s="10" t="str">
        <x:v>f45b366ebc3b3f</x:v>
      </x:c>
      <x:c r="B165" s="10" t="str">
        <x:v>Startup Ignition Ventures</x:v>
      </x:c>
      <x:c r="C165" s="10" t="str"/>
      <x:c r="D165" s="10" t="str">
        <x:v>Venture / proptech firm</x:v>
      </x:c>
      <x:c r="E165" s="12" t="str"/>
      <x:c r="F165" s="12" t="str"/>
      <x:c r="G165" s="10" t="str">
        <x:v>not_found_publicly</x:v>
      </x:c>
      <x:c r="H165" s="10" t="str">
        <x:v>not_found_publicly</x:v>
      </x:c>
      <x:c r="I165" s="10" t="str">
        <x:v>Published range overlaps $500K</x:v>
      </x:c>
      <x:c r="J165" s="11" t="n">
        <x:v>250000</x:v>
      </x:c>
      <x:c r="K165" s="11" t="n">
        <x:v>750000</x:v>
      </x:c>
      <x:c r="L165" s="10" t="str">
        <x:v>Utah / United States</x:v>
      </x:c>
      <x:c r="M165" s="10" t="str"/>
      <x:c r="N165" s="10" t="str">
        <x:v>Conditional research prospect</x:v>
      </x:c>
      <x:c r="O165" s="13" t="str">
        <x:v>new</x:v>
      </x:c>
      <x:c r="P165" s="13" t="str"/>
      <x:c r="Q165" s="10" t="str">
        <x:v>Not contacted / unconfirmed</x:v>
      </x:c>
      <x:c r="R165" s="10" t="str">
        <x:v>unverified</x:v>
      </x:c>
      <x:c r="S165" s="10" t="str">
        <x:v>2026-09-30</x:v>
      </x:c>
      <x:c r="T165" s="10" t="str">
        <x:v>https://www.startupignition.com</x:v>
      </x:c>
      <x:c r="U165" s="10" t="str">
        <x:v>5e5c286815d9a8</x:v>
      </x:c>
    </x:row>
    <x:row r="166" ht="40" customHeight="1">
      <x:c r="A166" s="10" t="str">
        <x:v>f64b7cd174c8c6</x:v>
      </x:c>
      <x:c r="B166" s="10" t="str">
        <x:v>Victorum Capital</x:v>
      </x:c>
      <x:c r="C166" s="10" t="str"/>
      <x:c r="D166" s="10" t="str">
        <x:v>Venture / proptech firm</x:v>
      </x:c>
      <x:c r="E166" s="12" t="str"/>
      <x:c r="F166" s="12" t="str"/>
      <x:c r="G166" s="10" t="str">
        <x:v>not_found_publicly</x:v>
      </x:c>
      <x:c r="H166" s="10" t="str">
        <x:v>not_found_publicly</x:v>
      </x:c>
      <x:c r="I166" s="10" t="str">
        <x:v>Published range overlaps $500K</x:v>
      </x:c>
      <x:c r="J166" s="11" t="n">
        <x:v>250000</x:v>
      </x:c>
      <x:c r="K166" s="11" t="n">
        <x:v>1000000</x:v>
      </x:c>
      <x:c r="L166" s="10" t="str">
        <x:v>Oklahoma City, Oklahoma</x:v>
      </x:c>
      <x:c r="M166" s="10" t="str"/>
      <x:c r="N166" s="10" t="str">
        <x:v>Conditional research prospect</x:v>
      </x:c>
      <x:c r="O166" s="13" t="str">
        <x:v>new</x:v>
      </x:c>
      <x:c r="P166" s="13" t="str"/>
      <x:c r="Q166" s="10" t="str">
        <x:v>Not contacted / unconfirmed</x:v>
      </x:c>
      <x:c r="R166" s="10" t="str">
        <x:v>unverified</x:v>
      </x:c>
      <x:c r="S166" s="10" t="str">
        <x:v>2026-09-30</x:v>
      </x:c>
      <x:c r="T166" s="10" t="str">
        <x:v>https://victorumcapital.com</x:v>
      </x:c>
      <x:c r="U166" s="10" t="str">
        <x:v>3694b58fc885c3</x:v>
      </x:c>
    </x:row>
    <x:row r="167" ht="55" customHeight="1">
      <x:c r="A167" s="10" t="str">
        <x:v>7c19da5fdeee78</x:v>
      </x:c>
      <x:c r="B167" s="10" t="str">
        <x:v>VITALIZE Venture Capital</x:v>
      </x:c>
      <x:c r="C167" s="10" t="str"/>
      <x:c r="D167" s="10" t="str">
        <x:v>Venture / proptech firm</x:v>
      </x:c>
      <x:c r="E167" s="12" t="str">
        <x:v>1 (312) 265-5417</x:v>
      </x:c>
      <x:c r="F167" s="12" t="str"/>
      <x:c r="G167" s="10" t="str">
        <x:v>Published SEC business-office routing number</x:v>
      </x:c>
      <x:c r="H167" s="10" t="str">
        <x:v>not_found_publicly</x:v>
      </x:c>
      <x:c r="I167" s="10" t="str">
        <x:v>Published range overlaps $500K</x:v>
      </x:c>
      <x:c r="J167" s="11" t="n">
        <x:v>250000</x:v>
      </x:c>
      <x:c r="K167" s="11" t="n">
        <x:v>750000</x:v>
      </x:c>
      <x:c r="L167" s="10" t="str">
        <x:v>Companies incorporated in United States</x:v>
      </x:c>
      <x:c r="M167" s="10" t="str"/>
      <x:c r="N167" s="10" t="str">
        <x:v>Conditional research prospect</x:v>
      </x:c>
      <x:c r="O167" s="13" t="str">
        <x:v>new</x:v>
      </x:c>
      <x:c r="P167" s="13" t="str"/>
      <x:c r="Q167" s="10" t="str">
        <x:v>Not contacted / unconfirmed</x:v>
      </x:c>
      <x:c r="R167" s="10" t="str">
        <x:v>unverified</x:v>
      </x:c>
      <x:c r="S167" s="10" t="str">
        <x:v>2026-09-30</x:v>
      </x:c>
      <x:c r="T167" s="10" t="str">
        <x:v>https://www.vitalize.vc</x:v>
      </x:c>
      <x:c r="U167" s="10" t="str">
        <x:v>f4f703effd7088</x:v>
      </x:c>
    </x:row>
    <x:row r="168" ht="55" customHeight="1">
      <x:c r="A168" s="10" t="str">
        <x:v>5d6733f4db0e51</x:v>
      </x:c>
      <x:c r="B168" s="10" t="str">
        <x:v>757 Angels, Inc.</x:v>
      </x:c>
      <x:c r="C168" s="10" t="str"/>
      <x:c r="D168" s="10" t="str">
        <x:v>Angel group / syndication route</x:v>
      </x:c>
      <x:c r="E168" s="12" t="str"/>
      <x:c r="F168" s="12" t="str"/>
      <x:c r="G168" s="10" t="str">
        <x:v>not_publicly_found</x:v>
      </x:c>
      <x:c r="H168" s="10" t="str">
        <x:v>not_publicly_found</x:v>
      </x:c>
      <x:c r="I168" s="10" t="str">
        <x:v>group_syndication_route_500k_amount_unverified</x:v>
      </x:c>
      <x:c r="J168" s="11"/>
      <x:c r="K168" s="11"/>
      <x:c r="L168" s="10" t="str">
        <x:v>Hampton Roads and Commonwealth of Virginia.</x:v>
      </x:c>
      <x:c r="M168" s="10" t="str"/>
      <x:c r="N168" s="10" t="str">
        <x:v>Conditional research prospect</x:v>
      </x:c>
      <x:c r="O168" s="13" t="str">
        <x:v>new</x:v>
      </x:c>
      <x:c r="P168" s="13" t="str"/>
      <x:c r="Q168" s="10" t="str">
        <x:v>Not contacted / unconfirmed</x:v>
      </x:c>
      <x:c r="R168" s="10" t="str">
        <x:v>unverified</x:v>
      </x:c>
      <x:c r="S168" s="10" t="str">
        <x:v>2026-09-30</x:v>
      </x:c>
      <x:c r="T168" s="10" t="str">
        <x:v>https://757collab.org/angels/</x:v>
      </x:c>
      <x:c r="U168" s="10" t="str">
        <x:v>d5bd9cbc4a4067</x:v>
      </x:c>
    </x:row>
    <x:row r="169" ht="70" customHeight="1">
      <x:c r="A169" s="10" t="str">
        <x:v>8d70005f943772</x:v>
      </x:c>
      <x:c r="B169" s="10" t="str">
        <x:v>Aggie Angel Network</x:v>
      </x:c>
      <x:c r="C169" s="10" t="str"/>
      <x:c r="D169" s="10" t="str">
        <x:v>Angel group / syndication route</x:v>
      </x:c>
      <x:c r="E169" s="12" t="str"/>
      <x:c r="F169" s="12" t="str">
        <x:v>info@aggieangelnetwork.com</x:v>
      </x:c>
      <x:c r="G169" s="10" t="str">
        <x:v>not_publicly_found</x:v>
      </x:c>
      <x:c r="H169" s="10" t="str">
        <x:v>general_business</x:v>
      </x:c>
      <x:c r="I169" s="10" t="str">
        <x:v>group_syndication_route_500k_amount_unverified</x:v>
      </x:c>
      <x:c r="J169" s="11"/>
      <x:c r="K169" s="11"/>
      <x:c r="L169" s="10" t="str">
        <x:v>ACA US regional listing: Texas. Listing region does not itself establish a company-investment restriction.</x:v>
      </x:c>
      <x:c r="M169" s="10" t="str"/>
      <x:c r="N169" s="10" t="str">
        <x:v>Conditional research prospect</x:v>
      </x:c>
      <x:c r="O169" s="13" t="str">
        <x:v>new</x:v>
      </x:c>
      <x:c r="P169" s="13" t="str"/>
      <x:c r="Q169" s="10" t="str">
        <x:v>Not contacted / unconfirmed</x:v>
      </x:c>
      <x:c r="R169" s="10" t="str">
        <x:v>unverified</x:v>
      </x:c>
      <x:c r="S169" s="10" t="str">
        <x:v>2026-09-30</x:v>
      </x:c>
      <x:c r="T169" s="10" t="str">
        <x:v>http://www.aggieangelnetwork.com/</x:v>
      </x:c>
      <x:c r="U169" s="10" t="str">
        <x:v>b9c0c0af589eea</x:v>
      </x:c>
    </x:row>
    <x:row r="170" ht="55" customHeight="1">
      <x:c r="A170" s="10" t="str">
        <x:v>758810a3f19484</x:v>
      </x:c>
      <x:c r="B170" s="10" t="str">
        <x:v>Alliance of Angels</x:v>
      </x:c>
      <x:c r="C170" s="10" t="str"/>
      <x:c r="D170" s="10" t="str">
        <x:v>Angel group / syndication route</x:v>
      </x:c>
      <x:c r="E170" s="12" t="str"/>
      <x:c r="F170" s="12" t="str">
        <x:v>aoa@allianceofangels.com</x:v>
      </x:c>
      <x:c r="G170" s="10" t="str">
        <x:v>not_publicly_found</x:v>
      </x:c>
      <x:c r="H170" s="10" t="str">
        <x:v>general_business</x:v>
      </x:c>
      <x:c r="I170" s="10" t="str">
        <x:v>round_target_includes_500k_only</x:v>
      </x:c>
      <x:c r="J170" s="11"/>
      <x:c r="K170" s="11"/>
      <x:c r="L170" s="10" t="str">
        <x:v>US and Canada; Pacific Northwest ecosystem emphasis.</x:v>
      </x:c>
      <x:c r="M170" s="10" t="str"/>
      <x:c r="N170" s="10" t="str">
        <x:v>Conditional research prospect</x:v>
      </x:c>
      <x:c r="O170" s="13" t="str">
        <x:v>new</x:v>
      </x:c>
      <x:c r="P170" s="13" t="str"/>
      <x:c r="Q170" s="10" t="str">
        <x:v>Not contacted / unconfirmed</x:v>
      </x:c>
      <x:c r="R170" s="10" t="str">
        <x:v>unverified</x:v>
      </x:c>
      <x:c r="S170" s="10" t="str">
        <x:v>2026-09-30</x:v>
      </x:c>
      <x:c r="T170" s="10" t="str">
        <x:v>http://www.allianceofangels.com/</x:v>
      </x:c>
      <x:c r="U170" s="10" t="str">
        <x:v>552fdf6767aa3f</x:v>
      </x:c>
    </x:row>
    <x:row r="171" ht="70" customHeight="1">
      <x:c r="A171" s="10" t="str">
        <x:v>85c1106f3a49cf</x:v>
      </x:c>
      <x:c r="B171" s="10" t="str">
        <x:v>Atlanta Technology Angels</x:v>
      </x:c>
      <x:c r="C171" s="10" t="str"/>
      <x:c r="D171" s="10" t="str">
        <x:v>Angel group / syndication route</x:v>
      </x:c>
      <x:c r="E171" s="12" t="str"/>
      <x:c r="F171" s="12" t="str"/>
      <x:c r="G171" s="10" t="str">
        <x:v>not_publicly_found</x:v>
      </x:c>
      <x:c r="H171" s="10" t="str">
        <x:v>not_publicly_found</x:v>
      </x:c>
      <x:c r="I171" s="10" t="str">
        <x:v>group_syndication_route_500k_amount_unverified</x:v>
      </x:c>
      <x:c r="J171" s="11"/>
      <x:c r="K171" s="11"/>
      <x:c r="L171" s="10" t="str">
        <x:v>ACA US regional listing: Southeast. Listing region does not itself establish a company-investment restriction.</x:v>
      </x:c>
      <x:c r="M171" s="10" t="str"/>
      <x:c r="N171" s="10" t="str">
        <x:v>Conditional research prospect</x:v>
      </x:c>
      <x:c r="O171" s="13" t="str">
        <x:v>new</x:v>
      </x:c>
      <x:c r="P171" s="13" t="str"/>
      <x:c r="Q171" s="10" t="str">
        <x:v>Not contacted / unconfirmed</x:v>
      </x:c>
      <x:c r="R171" s="10" t="str">
        <x:v>unverified</x:v>
      </x:c>
      <x:c r="S171" s="10" t="str">
        <x:v>2026-09-30</x:v>
      </x:c>
      <x:c r="T171" s="10" t="str">
        <x:v>http://www.angelatlanta.com/</x:v>
      </x:c>
      <x:c r="U171" s="10" t="str">
        <x:v>b95aa70c35732a</x:v>
      </x:c>
    </x:row>
    <x:row r="172" ht="55" customHeight="1">
      <x:c r="A172" s="10" t="str">
        <x:v>16c2493aba4499</x:v>
      </x:c>
      <x:c r="B172" s="10" t="str">
        <x:v>Bellingham Angel Investors</x:v>
      </x:c>
      <x:c r="C172" s="10" t="str"/>
      <x:c r="D172" s="10" t="str">
        <x:v>Angel group / syndication route</x:v>
      </x:c>
      <x:c r="E172" s="12" t="str"/>
      <x:c r="F172" s="12" t="str"/>
      <x:c r="G172" s="10" t="str">
        <x:v>not_publicly_found</x:v>
      </x:c>
      <x:c r="H172" s="10" t="str">
        <x:v>not_publicly_found</x:v>
      </x:c>
      <x:c r="I172" s="10" t="str">
        <x:v>group_syndication_route_500k_amount_unverified</x:v>
      </x:c>
      <x:c r="J172" s="11"/>
      <x:c r="K172" s="11"/>
      <x:c r="L172" s="10" t="str">
        <x:v>US Pacific Northwest and British Columbia focus.</x:v>
      </x:c>
      <x:c r="M172" s="10" t="str"/>
      <x:c r="N172" s="10" t="str">
        <x:v>Conditional research prospect</x:v>
      </x:c>
      <x:c r="O172" s="13" t="str">
        <x:v>new</x:v>
      </x:c>
      <x:c r="P172" s="13" t="str"/>
      <x:c r="Q172" s="10" t="str">
        <x:v>Not contacted / unconfirmed</x:v>
      </x:c>
      <x:c r="R172" s="10" t="str">
        <x:v>unverified</x:v>
      </x:c>
      <x:c r="S172" s="10" t="str">
        <x:v>2026-09-30</x:v>
      </x:c>
      <x:c r="T172" s="10" t="str">
        <x:v>http://www.bellinghamangelinvestors.com/</x:v>
      </x:c>
      <x:c r="U172" s="10" t="str">
        <x:v>2087d09b4ec897</x:v>
      </x:c>
    </x:row>
    <x:row r="173" ht="70" customHeight="1">
      <x:c r="A173" s="10" t="str">
        <x:v>666fbe087d33fe</x:v>
      </x:c>
      <x:c r="B173" s="10" t="str">
        <x:v>Buffalo Angel Network</x:v>
      </x:c>
      <x:c r="C173" s="10" t="str"/>
      <x:c r="D173" s="10" t="str">
        <x:v>Angel group / syndication route</x:v>
      </x:c>
      <x:c r="E173" s="12" t="str">
        <x:v>1 (716) 636-3626</x:v>
      </x:c>
      <x:c r="F173" s="12" t="str"/>
      <x:c r="G173" s="10" t="str">
        <x:v>published_business_line</x:v>
      </x:c>
      <x:c r="H173" s="10" t="str">
        <x:v>not_publicly_found</x:v>
      </x:c>
      <x:c r="I173" s="10" t="str">
        <x:v>group_syndication_route_500k_amount_unverified</x:v>
      </x:c>
      <x:c r="J173" s="11"/>
      <x:c r="K173" s="11"/>
      <x:c r="L173" s="10" t="str">
        <x:v>ACA US regional listing: New York. Listing region does not itself establish a company-investment restriction.</x:v>
      </x:c>
      <x:c r="M173" s="10" t="str"/>
      <x:c r="N173" s="10" t="str">
        <x:v>Conditional research prospect</x:v>
      </x:c>
      <x:c r="O173" s="13" t="str">
        <x:v>new</x:v>
      </x:c>
      <x:c r="P173" s="13" t="str"/>
      <x:c r="Q173" s="10" t="str">
        <x:v>Not contacted / unconfirmed</x:v>
      </x:c>
      <x:c r="R173" s="10" t="str">
        <x:v>unverified</x:v>
      </x:c>
      <x:c r="S173" s="10" t="str">
        <x:v>2026-09-30</x:v>
      </x:c>
      <x:c r="T173" s="10" t="str">
        <x:v>http://www.wnyventure.com/buffalo-angels</x:v>
      </x:c>
      <x:c r="U173" s="10" t="str">
        <x:v>753536abc39236</x:v>
      </x:c>
    </x:row>
    <x:row r="174" ht="70" customHeight="1">
      <x:c r="A174" s="10" t="str">
        <x:v>5ce0383156edc7</x:v>
      </x:c>
      <x:c r="B174" s="10" t="str">
        <x:v>Carolina Angel Network</x:v>
      </x:c>
      <x:c r="C174" s="10" t="str"/>
      <x:c r="D174" s="10" t="str">
        <x:v>Angel group / syndication route</x:v>
      </x:c>
      <x:c r="E174" s="12" t="str"/>
      <x:c r="F174" s="12" t="str">
        <x:v>brett@carolinaangel.net</x:v>
      </x:c>
      <x:c r="G174" s="10" t="str">
        <x:v>not_publicly_found</x:v>
      </x:c>
      <x:c r="H174" s="10" t="str">
        <x:v>published_business</x:v>
      </x:c>
      <x:c r="I174" s="10" t="str">
        <x:v>group_syndication_route_500k_amount_unverified</x:v>
      </x:c>
      <x:c r="J174" s="11"/>
      <x:c r="K174" s="11"/>
      <x:c r="L174" s="10" t="str">
        <x:v>ACA US regional listing: Southeast. Listing region does not itself establish a company-investment restriction.</x:v>
      </x:c>
      <x:c r="M174" s="10" t="str"/>
      <x:c r="N174" s="10" t="str">
        <x:v>Conditional research prospect</x:v>
      </x:c>
      <x:c r="O174" s="13" t="str">
        <x:v>new</x:v>
      </x:c>
      <x:c r="P174" s="13" t="str"/>
      <x:c r="Q174" s="10" t="str">
        <x:v>Not contacted / unconfirmed</x:v>
      </x:c>
      <x:c r="R174" s="10" t="str">
        <x:v>unverified</x:v>
      </x:c>
      <x:c r="S174" s="10" t="str">
        <x:v>2026-09-30</x:v>
      </x:c>
      <x:c r="T174" s="10" t="str">
        <x:v>http://www.carolinaangelnetwork.com/</x:v>
      </x:c>
      <x:c r="U174" s="10" t="str">
        <x:v>12ecdd8a00932a</x:v>
      </x:c>
    </x:row>
    <x:row r="175" ht="70" customHeight="1">
      <x:c r="A175" s="10" t="str">
        <x:v>ef6c893523fcf0</x:v>
      </x:c>
      <x:c r="B175" s="10" t="str">
        <x:v>CAV Angels</x:v>
      </x:c>
      <x:c r="C175" s="10" t="str"/>
      <x:c r="D175" s="10" t="str">
        <x:v>Angel group / syndication route</x:v>
      </x:c>
      <x:c r="E175" s="12" t="str">
        <x:v>1 (434) 218-5783</x:v>
      </x:c>
      <x:c r="F175" s="12" t="str"/>
      <x:c r="G175" s="10" t="str">
        <x:v>published_business_line</x:v>
      </x:c>
      <x:c r="H175" s="10" t="str">
        <x:v>not_publicly_found</x:v>
      </x:c>
      <x:c r="I175" s="10" t="str">
        <x:v>group_syndication_route_500k_amount_unverified</x:v>
      </x:c>
      <x:c r="J175" s="11"/>
      <x:c r="K175" s="11"/>
      <x:c r="L175" s="10" t="str">
        <x:v>ACA US regional listing: Mid-Atlantic. Listing region does not itself establish a company-investment restriction.</x:v>
      </x:c>
      <x:c r="M175" s="10" t="str"/>
      <x:c r="N175" s="10" t="str">
        <x:v>Conditional research prospect</x:v>
      </x:c>
      <x:c r="O175" s="13" t="str">
        <x:v>new</x:v>
      </x:c>
      <x:c r="P175" s="13" t="str"/>
      <x:c r="Q175" s="10" t="str">
        <x:v>Not contacted / unconfirmed</x:v>
      </x:c>
      <x:c r="R175" s="10" t="str">
        <x:v>unverified</x:v>
      </x:c>
      <x:c r="S175" s="10" t="str">
        <x:v>2026-09-30</x:v>
      </x:c>
      <x:c r="T175" s="10" t="str">
        <x:v>http://www.cavangels.com/</x:v>
      </x:c>
      <x:c r="U175" s="10" t="str">
        <x:v>f849d114d3fcc8</x:v>
      </x:c>
    </x:row>
    <x:row r="176" ht="70" customHeight="1">
      <x:c r="A176" s="10" t="str">
        <x:v>cb79e1ee3f6529</x:v>
      </x:c>
      <x:c r="B176" s="10" t="str">
        <x:v>Charleston Angel Partners</x:v>
      </x:c>
      <x:c r="C176" s="10" t="str"/>
      <x:c r="D176" s="10" t="str">
        <x:v>Angel group / syndication route</x:v>
      </x:c>
      <x:c r="E176" s="12" t="str"/>
      <x:c r="F176" s="12" t="str"/>
      <x:c r="G176" s="10" t="str">
        <x:v>not_publicly_found</x:v>
      </x:c>
      <x:c r="H176" s="10" t="str">
        <x:v>not_publicly_found</x:v>
      </x:c>
      <x:c r="I176" s="10" t="str">
        <x:v>group_syndication_route_500k_amount_unverified</x:v>
      </x:c>
      <x:c r="J176" s="11"/>
      <x:c r="K176" s="11"/>
      <x:c r="L176" s="10" t="str">
        <x:v>ACA US regional listing: Southeast. Listing region does not itself establish a company-investment restriction.</x:v>
      </x:c>
      <x:c r="M176" s="10" t="str"/>
      <x:c r="N176" s="10" t="str">
        <x:v>Conditional research prospect</x:v>
      </x:c>
      <x:c r="O176" s="13" t="str">
        <x:v>new</x:v>
      </x:c>
      <x:c r="P176" s="13" t="str"/>
      <x:c r="Q176" s="10" t="str">
        <x:v>Not contacted / unconfirmed</x:v>
      </x:c>
      <x:c r="R176" s="10" t="str">
        <x:v>unverified</x:v>
      </x:c>
      <x:c r="S176" s="10" t="str">
        <x:v>2026-09-30</x:v>
      </x:c>
      <x:c r="T176" s="10" t="str">
        <x:v>http://www.chapsc.com/</x:v>
      </x:c>
      <x:c r="U176" s="10" t="str">
        <x:v>b7810e144be4aa</x:v>
      </x:c>
    </x:row>
    <x:row r="177" ht="70" customHeight="1">
      <x:c r="A177" s="10" t="str">
        <x:v>247a1dcc6f79d5</x:v>
      </x:c>
      <x:c r="B177" s="10" t="str">
        <x:v>Country Roads Angel Network, LLC</x:v>
      </x:c>
      <x:c r="C177" s="10" t="str"/>
      <x:c r="D177" s="10" t="str">
        <x:v>Angel group / syndication route</x:v>
      </x:c>
      <x:c r="E177" s="12" t="str"/>
      <x:c r="F177" s="12" t="str">
        <x:v>info@wvcran.com</x:v>
      </x:c>
      <x:c r="G177" s="10" t="str">
        <x:v>not_publicly_found</x:v>
      </x:c>
      <x:c r="H177" s="10" t="str">
        <x:v>general_business</x:v>
      </x:c>
      <x:c r="I177" s="10" t="str">
        <x:v>group_syndication_route_500k_amount_unverified</x:v>
      </x:c>
      <x:c r="J177" s="11"/>
      <x:c r="K177" s="11"/>
      <x:c r="L177" s="10" t="str">
        <x:v>ACA US regional listing: Southeast. Listing region does not itself establish a company-investment restriction.</x:v>
      </x:c>
      <x:c r="M177" s="10" t="str"/>
      <x:c r="N177" s="10" t="str">
        <x:v>Conditional research prospect</x:v>
      </x:c>
      <x:c r="O177" s="13" t="str">
        <x:v>new</x:v>
      </x:c>
      <x:c r="P177" s="13" t="str"/>
      <x:c r="Q177" s="10" t="str">
        <x:v>Not contacted / unconfirmed</x:v>
      </x:c>
      <x:c r="R177" s="10" t="str">
        <x:v>unverified</x:v>
      </x:c>
      <x:c r="S177" s="10" t="str">
        <x:v>2026-09-30</x:v>
      </x:c>
      <x:c r="T177" s="10" t="str">
        <x:v>https://www.wvcran.com/</x:v>
      </x:c>
      <x:c r="U177" s="10" t="str">
        <x:v>b81295242c3c22</x:v>
      </x:c>
    </x:row>
    <x:row r="178" ht="70" customHeight="1">
      <x:c r="A178" s="10" t="str">
        <x:v>aa7444cda86073</x:v>
      </x:c>
      <x:c r="B178" s="10" t="str">
        <x:v>Countryside Angels</x:v>
      </x:c>
      <x:c r="C178" s="10" t="str"/>
      <x:c r="D178" s="10" t="str">
        <x:v>Angel group / syndication route</x:v>
      </x:c>
      <x:c r="E178" s="12" t="str">
        <x:v>1 (641) 494-2368</x:v>
      </x:c>
      <x:c r="F178" s="12" t="str"/>
      <x:c r="G178" s="10" t="str">
        <x:v>parent_institution_business_line</x:v>
      </x:c>
      <x:c r="H178" s="10" t="str">
        <x:v>not_publicly_found</x:v>
      </x:c>
      <x:c r="I178" s="10" t="str">
        <x:v>group_syndication_route_500k_amount_unverified</x:v>
      </x:c>
      <x:c r="J178" s="11"/>
      <x:c r="K178" s="11"/>
      <x:c r="L178" s="10" t="str">
        <x:v>ACA US regional listing: Midwest. Listing region does not itself establish a company-investment restriction.</x:v>
      </x:c>
      <x:c r="M178" s="10" t="str"/>
      <x:c r="N178" s="10" t="str">
        <x:v>Conditional research prospect</x:v>
      </x:c>
      <x:c r="O178" s="13" t="str">
        <x:v>new</x:v>
      </x:c>
      <x:c r="P178" s="13" t="str"/>
      <x:c r="Q178" s="10" t="str">
        <x:v>Not contacted / unconfirmed</x:v>
      </x:c>
      <x:c r="R178" s="10" t="str">
        <x:v>unverified</x:v>
      </x:c>
      <x:c r="S178" s="10" t="str">
        <x:v>2026-09-30</x:v>
      </x:c>
      <x:c r="T178" s="10" t="str">
        <x:v>https://www.countrysideangels.com/</x:v>
      </x:c>
      <x:c r="U178" s="10" t="str">
        <x:v>e72c57e229d206</x:v>
      </x:c>
    </x:row>
    <x:row r="179" ht="70" customHeight="1">
      <x:c r="A179" s="10" t="str">
        <x:v>ed0050fe7a0fc7</x:v>
      </x:c>
      <x:c r="B179" s="10" t="str">
        <x:v>Delaware Crossing Investor Group</x:v>
      </x:c>
      <x:c r="C179" s="10" t="str"/>
      <x:c r="D179" s="10" t="str">
        <x:v>Angel group / syndication route</x:v>
      </x:c>
      <x:c r="E179" s="12" t="str"/>
      <x:c r="F179" s="12" t="str">
        <x:v>members@delawarecrossing.org</x:v>
      </x:c>
      <x:c r="G179" s="10" t="str">
        <x:v>not_publicly_found</x:v>
      </x:c>
      <x:c r="H179" s="10" t="str">
        <x:v>published_business</x:v>
      </x:c>
      <x:c r="I179" s="10" t="str">
        <x:v>group_syndication_route_500k_amount_unverified</x:v>
      </x:c>
      <x:c r="J179" s="11"/>
      <x:c r="K179" s="11"/>
      <x:c r="L179" s="10" t="str">
        <x:v>ACA US regional listing: Mid-Atlantic. Listing region does not itself establish a company-investment restriction.</x:v>
      </x:c>
      <x:c r="M179" s="10" t="str"/>
      <x:c r="N179" s="10" t="str">
        <x:v>Conditional research prospect</x:v>
      </x:c>
      <x:c r="O179" s="13" t="str">
        <x:v>new</x:v>
      </x:c>
      <x:c r="P179" s="13" t="str"/>
      <x:c r="Q179" s="10" t="str">
        <x:v>Not contacted / unconfirmed</x:v>
      </x:c>
      <x:c r="R179" s="10" t="str">
        <x:v>unverified</x:v>
      </x:c>
      <x:c r="S179" s="10" t="str">
        <x:v>2026-09-30</x:v>
      </x:c>
      <x:c r="T179" s="10" t="str">
        <x:v>http://www.delawarecrossing.org/</x:v>
      </x:c>
      <x:c r="U179" s="10" t="str">
        <x:v>0b1583dc527dde</x:v>
      </x:c>
    </x:row>
    <x:row r="180" ht="55" customHeight="1">
      <x:c r="A180" s="10" t="str">
        <x:v>0587c95ccf7e44</x:v>
      </x:c>
      <x:c r="B180" s="10" t="str">
        <x:v>Frontier Angels</x:v>
      </x:c>
      <x:c r="C180" s="10" t="str"/>
      <x:c r="D180" s="10" t="str">
        <x:v>Angel group / syndication route</x:v>
      </x:c>
      <x:c r="E180" s="12" t="str">
        <x:v>1 (406) 518-7810</x:v>
      </x:c>
      <x:c r="F180" s="12" t="str"/>
      <x:c r="G180" s="10" t="str">
        <x:v>published_business_line</x:v>
      </x:c>
      <x:c r="H180" s="10" t="str">
        <x:v>not_publicly_found</x:v>
      </x:c>
      <x:c r="I180" s="10" t="str">
        <x:v>Published group range includes $500K</x:v>
      </x:c>
      <x:c r="J180" s="11" t="n">
        <x:v>100000</x:v>
      </x:c>
      <x:c r="K180" s="11" t="n">
        <x:v>1000000</x:v>
      </x:c>
      <x:c r="L180" s="10" t="str">
        <x:v>Montana-based or strong Montana ties.</x:v>
      </x:c>
      <x:c r="M180" s="10" t="str"/>
      <x:c r="N180" s="10" t="str">
        <x:v>Conditional research prospect</x:v>
      </x:c>
      <x:c r="O180" s="13" t="str">
        <x:v>new</x:v>
      </x:c>
      <x:c r="P180" s="13" t="str"/>
      <x:c r="Q180" s="10" t="str">
        <x:v>Not contacted / unconfirmed</x:v>
      </x:c>
      <x:c r="R180" s="10" t="str">
        <x:v>unverified</x:v>
      </x:c>
      <x:c r="S180" s="10" t="str">
        <x:v>2026-09-30</x:v>
      </x:c>
      <x:c r="T180" s="10" t="str">
        <x:v>http://www.frontierangels.com/</x:v>
      </x:c>
      <x:c r="U180" s="10" t="str">
        <x:v>d71bc106e33445</x:v>
      </x:c>
    </x:row>
    <x:row r="181" ht="70" customHeight="1">
      <x:c r="A181" s="10" t="str">
        <x:v>e8486aee96dc39</x:v>
      </x:c>
      <x:c r="B181" s="10" t="str">
        <x:v>Georgetown Angel Investor Network (GAIN)</x:v>
      </x:c>
      <x:c r="C181" s="10" t="str"/>
      <x:c r="D181" s="10" t="str">
        <x:v>Angel group / syndication route</x:v>
      </x:c>
      <x:c r="E181" s="12" t="str"/>
      <x:c r="F181" s="12" t="str">
        <x:v>angelnetwork@georgetown.edu</x:v>
      </x:c>
      <x:c r="G181" s="10" t="str">
        <x:v>not_publicly_found</x:v>
      </x:c>
      <x:c r="H181" s="10" t="str">
        <x:v>published_business</x:v>
      </x:c>
      <x:c r="I181" s="10" t="str">
        <x:v>group_syndication_route_500k_amount_unverified</x:v>
      </x:c>
      <x:c r="J181" s="11"/>
      <x:c r="K181" s="11"/>
      <x:c r="L181" s="10" t="str">
        <x:v>ACA US regional listing: Mid-Atlantic, New England. Listing region does not itself establish a company-investment restriction.</x:v>
      </x:c>
      <x:c r="M181" s="10" t="str"/>
      <x:c r="N181" s="10" t="str">
        <x:v>Conditional research prospect</x:v>
      </x:c>
      <x:c r="O181" s="13" t="str">
        <x:v>new</x:v>
      </x:c>
      <x:c r="P181" s="13" t="str"/>
      <x:c r="Q181" s="10" t="str">
        <x:v>Not contacted / unconfirmed</x:v>
      </x:c>
      <x:c r="R181" s="10" t="str">
        <x:v>unverified</x:v>
      </x:c>
      <x:c r="S181" s="10" t="str">
        <x:v>2026-09-30</x:v>
      </x:c>
      <x:c r="T181" s="10" t="str">
        <x:v>https://www.georgetownangelnetwork.org/</x:v>
      </x:c>
      <x:c r="U181" s="10" t="str">
        <x:v>3ba67fb17d4d59</x:v>
      </x:c>
    </x:row>
    <x:row r="182" ht="55" customHeight="1">
      <x:c r="A182" s="10" t="str">
        <x:v>d87d5748f9a5aa</x:v>
      </x:c>
      <x:c r="B182" s="10" t="str">
        <x:v>Gopher Angels, LLC</x:v>
      </x:c>
      <x:c r="C182" s="10" t="str"/>
      <x:c r="D182" s="10" t="str">
        <x:v>Angel group / syndication route</x:v>
      </x:c>
      <x:c r="E182" s="12" t="str"/>
      <x:c r="F182" s="12" t="str">
        <x:v>info@gopherangels.com</x:v>
      </x:c>
      <x:c r="G182" s="10" t="str">
        <x:v>not_publicly_found</x:v>
      </x:c>
      <x:c r="H182" s="10" t="str">
        <x:v>general_business</x:v>
      </x:c>
      <x:c r="I182" s="10" t="str">
        <x:v>group_syndication_route_500k_amount_unverified</x:v>
      </x:c>
      <x:c r="J182" s="11"/>
      <x:c r="K182" s="11"/>
      <x:c r="L182" s="10" t="str">
        <x:v>Minnesota angel network; current company-geography restrictions require confirmation.</x:v>
      </x:c>
      <x:c r="M182" s="10" t="str"/>
      <x:c r="N182" s="10" t="str">
        <x:v>Conditional research prospect</x:v>
      </x:c>
      <x:c r="O182" s="13" t="str">
        <x:v>new</x:v>
      </x:c>
      <x:c r="P182" s="13" t="str"/>
      <x:c r="Q182" s="10" t="str">
        <x:v>Not contacted / unconfirmed</x:v>
      </x:c>
      <x:c r="R182" s="10" t="str">
        <x:v>unverified</x:v>
      </x:c>
      <x:c r="S182" s="10" t="str">
        <x:v>2026-09-30</x:v>
      </x:c>
      <x:c r="T182" s="10" t="str">
        <x:v>https://gopherangels.com/for-entrepreneurs/</x:v>
      </x:c>
      <x:c r="U182" s="10" t="str">
        <x:v>8e74d7702cfe13</x:v>
      </x:c>
    </x:row>
    <x:row r="183" ht="55" customHeight="1">
      <x:c r="A183" s="10" t="str">
        <x:v>e52d0f91c7669a</x:v>
      </x:c>
      <x:c r="B183" s="10" t="str">
        <x:v>Gulf South Angels</x:v>
      </x:c>
      <x:c r="C183" s="10" t="str"/>
      <x:c r="D183" s="10" t="str">
        <x:v>Angel group / syndication route</x:v>
      </x:c>
      <x:c r="E183" s="12" t="str"/>
      <x:c r="F183" s="12" t="str">
        <x:v>karen@gulfsouthangels.org</x:v>
      </x:c>
      <x:c r="G183" s="10" t="str">
        <x:v>not_publicly_found</x:v>
      </x:c>
      <x:c r="H183" s="10" t="str">
        <x:v>published_business</x:v>
      </x:c>
      <x:c r="I183" s="10" t="str">
        <x:v>group_syndication_route_500k_amount_unverified</x:v>
      </x:c>
      <x:c r="J183" s="11"/>
      <x:c r="K183" s="11"/>
      <x:c r="L183" s="10" t="str">
        <x:v>Gulf South ecosystem and national syndication.</x:v>
      </x:c>
      <x:c r="M183" s="10" t="str"/>
      <x:c r="N183" s="10" t="str">
        <x:v>Conditional research prospect</x:v>
      </x:c>
      <x:c r="O183" s="13" t="str">
        <x:v>new</x:v>
      </x:c>
      <x:c r="P183" s="13" t="str"/>
      <x:c r="Q183" s="10" t="str">
        <x:v>Not contacted / unconfirmed</x:v>
      </x:c>
      <x:c r="R183" s="10" t="str">
        <x:v>unverified</x:v>
      </x:c>
      <x:c r="S183" s="10" t="str">
        <x:v>2026-09-30</x:v>
      </x:c>
      <x:c r="T183" s="10" t="str">
        <x:v>https://gulfsouthangels.org/</x:v>
      </x:c>
      <x:c r="U183" s="10" t="str">
        <x:v>06ba8a3c48446b</x:v>
      </x:c>
    </x:row>
    <x:row r="184" ht="70" customHeight="1">
      <x:c r="A184" s="10" t="str">
        <x:v>1f7d6605023bf9</x:v>
      </x:c>
      <x:c r="B184" s="10" t="str">
        <x:v>Harvard Business Alumni Angels of Greater New York (HBSAANY)</x:v>
      </x:c>
      <x:c r="C184" s="10" t="str"/>
      <x:c r="D184" s="10" t="str">
        <x:v>Angel group / syndication route</x:v>
      </x:c>
      <x:c r="E184" s="12" t="str"/>
      <x:c r="F184" s="12" t="str">
        <x:v>angels@hbscny.org</x:v>
      </x:c>
      <x:c r="G184" s="10" t="str">
        <x:v>not_publicly_found</x:v>
      </x:c>
      <x:c r="H184" s="10" t="str">
        <x:v>published_business</x:v>
      </x:c>
      <x:c r="I184" s="10" t="str">
        <x:v>group_syndication_route_500k_amount_unverified</x:v>
      </x:c>
      <x:c r="J184" s="11"/>
      <x:c r="K184" s="11"/>
      <x:c r="L184" s="10" t="str">
        <x:v>Greater New York preference including CT, NJ and eastern PA; not exclusive.</x:v>
      </x:c>
      <x:c r="M184" s="10" t="str"/>
      <x:c r="N184" s="10" t="str">
        <x:v>Conditional research prospect</x:v>
      </x:c>
      <x:c r="O184" s="13" t="str">
        <x:v>new</x:v>
      </x:c>
      <x:c r="P184" s="13" t="str"/>
      <x:c r="Q184" s="10" t="str">
        <x:v>Not contacted / unconfirmed</x:v>
      </x:c>
      <x:c r="R184" s="10" t="str">
        <x:v>unverified</x:v>
      </x:c>
      <x:c r="S184" s="10" t="str">
        <x:v>2026-09-30</x:v>
      </x:c>
      <x:c r="T184" s="10" t="str">
        <x:v>https://www.hbsangelsny.com/</x:v>
      </x:c>
      <x:c r="U184" s="10" t="str">
        <x:v>955eea2a0df2f2</x:v>
      </x:c>
    </x:row>
    <x:row r="185" ht="70" customHeight="1">
      <x:c r="A185" s="10" t="str">
        <x:v>169879b541d680</x:v>
      </x:c>
      <x:c r="B185" s="10" t="str">
        <x:v>Houston Angel Network</x:v>
      </x:c>
      <x:c r="C185" s="10" t="str"/>
      <x:c r="D185" s="10" t="str">
        <x:v>Angel group / syndication route</x:v>
      </x:c>
      <x:c r="E185" s="12" t="str"/>
      <x:c r="F185" s="12" t="str">
        <x:v>samia@houstonangelnetwork.org</x:v>
      </x:c>
      <x:c r="G185" s="10" t="str">
        <x:v>not_publicly_found</x:v>
      </x:c>
      <x:c r="H185" s="10" t="str">
        <x:v>published_business</x:v>
      </x:c>
      <x:c r="I185" s="10" t="str">
        <x:v>group_syndication_route_500k_amount_unverified</x:v>
      </x:c>
      <x:c r="J185" s="11"/>
      <x:c r="K185" s="11"/>
      <x:c r="L185" s="10" t="str">
        <x:v>ACA US regional listing: Texas. Listing region does not itself establish a company-investment restriction.</x:v>
      </x:c>
      <x:c r="M185" s="10" t="str"/>
      <x:c r="N185" s="10" t="str">
        <x:v>Conditional research prospect</x:v>
      </x:c>
      <x:c r="O185" s="13" t="str">
        <x:v>new</x:v>
      </x:c>
      <x:c r="P185" s="13" t="str"/>
      <x:c r="Q185" s="10" t="str">
        <x:v>Not contacted / unconfirmed</x:v>
      </x:c>
      <x:c r="R185" s="10" t="str">
        <x:v>unverified</x:v>
      </x:c>
      <x:c r="S185" s="10" t="str">
        <x:v>2026-09-30</x:v>
      </x:c>
      <x:c r="T185" s="10" t="str">
        <x:v>http://www.houstonangelnetwork.org/</x:v>
      </x:c>
      <x:c r="U185" s="10" t="str">
        <x:v>71edcc385f26dd</x:v>
      </x:c>
    </x:row>
    <x:row r="186" ht="70" customHeight="1">
      <x:c r="A186" s="10" t="str">
        <x:v>7def11db236f62</x:v>
      </x:c>
      <x:c r="B186" s="10" t="str">
        <x:v>Launchpad Venture Group, LLC</x:v>
      </x:c>
      <x:c r="C186" s="10" t="str"/>
      <x:c r="D186" s="10" t="str">
        <x:v>Angel group / syndication route</x:v>
      </x:c>
      <x:c r="E186" s="12" t="str"/>
      <x:c r="F186" s="12" t="str"/>
      <x:c r="G186" s="10" t="str">
        <x:v>not_publicly_found</x:v>
      </x:c>
      <x:c r="H186" s="10" t="str">
        <x:v>not_publicly_found</x:v>
      </x:c>
      <x:c r="I186" s="10" t="str">
        <x:v>group_syndication_route_500k_amount_unverified</x:v>
      </x:c>
      <x:c r="J186" s="11"/>
      <x:c r="K186" s="11"/>
      <x:c r="L186" s="10" t="str">
        <x:v>ACA US regional listing: New England. Listing region does not itself establish a company-investment restriction.</x:v>
      </x:c>
      <x:c r="M186" s="10" t="str"/>
      <x:c r="N186" s="10" t="str">
        <x:v>Conditional research prospect</x:v>
      </x:c>
      <x:c r="O186" s="13" t="str">
        <x:v>new</x:v>
      </x:c>
      <x:c r="P186" s="13" t="str"/>
      <x:c r="Q186" s="10" t="str">
        <x:v>Not contacted / unconfirmed</x:v>
      </x:c>
      <x:c r="R186" s="10" t="str">
        <x:v>unverified</x:v>
      </x:c>
      <x:c r="S186" s="10" t="str">
        <x:v>2026-09-30</x:v>
      </x:c>
      <x:c r="T186" s="10" t="str">
        <x:v>http://www.launchpadventuregroup.com/</x:v>
      </x:c>
      <x:c r="U186" s="10" t="str">
        <x:v>20ee793b1ed729</x:v>
      </x:c>
    </x:row>
    <x:row r="187" ht="70" customHeight="1">
      <x:c r="A187" s="10" t="str">
        <x:v>afd56c3fc2481a</x:v>
      </x:c>
      <x:c r="B187" s="10" t="str">
        <x:v>Maine Angels</x:v>
      </x:c>
      <x:c r="C187" s="10" t="str"/>
      <x:c r="D187" s="10" t="str">
        <x:v>Angel group / syndication route</x:v>
      </x:c>
      <x:c r="E187" s="12" t="str"/>
      <x:c r="F187" s="12" t="str">
        <x:v>maineangels.coordinator@gmail.com</x:v>
      </x:c>
      <x:c r="G187" s="10" t="str">
        <x:v>not_publicly_found</x:v>
      </x:c>
      <x:c r="H187" s="10" t="str">
        <x:v>published_business</x:v>
      </x:c>
      <x:c r="I187" s="10" t="str">
        <x:v>group_syndication_route_500k_amount_unverified</x:v>
      </x:c>
      <x:c r="J187" s="11"/>
      <x:c r="K187" s="11"/>
      <x:c r="L187" s="10" t="str">
        <x:v>ACA US regional listing: New England. Listing region does not itself establish a company-investment restriction.</x:v>
      </x:c>
      <x:c r="M187" s="10" t="str"/>
      <x:c r="N187" s="10" t="str">
        <x:v>Conditional research prospect</x:v>
      </x:c>
      <x:c r="O187" s="13" t="str">
        <x:v>new</x:v>
      </x:c>
      <x:c r="P187" s="13" t="str"/>
      <x:c r="Q187" s="10" t="str">
        <x:v>Not contacted / unconfirmed</x:v>
      </x:c>
      <x:c r="R187" s="10" t="str">
        <x:v>unverified</x:v>
      </x:c>
      <x:c r="S187" s="10" t="str">
        <x:v>2026-09-30</x:v>
      </x:c>
      <x:c r="T187" s="10" t="str">
        <x:v>http://www.maineangels.org/</x:v>
      </x:c>
      <x:c r="U187" s="10" t="str">
        <x:v>a84a19bd4cca28</x:v>
      </x:c>
    </x:row>
    <x:row r="188" ht="85" customHeight="1">
      <x:c r="A188" s="10" t="str">
        <x:v>9379fd5bcdaea0</x:v>
      </x:c>
      <x:c r="B188" s="10" t="str">
        <x:v>Mossy Ventures</x:v>
      </x:c>
      <x:c r="C188" s="10" t="str"/>
      <x:c r="D188" s="10" t="str">
        <x:v>Angel group / syndication route</x:v>
      </x:c>
      <x:c r="E188" s="12" t="str"/>
      <x:c r="F188" s="12" t="str"/>
      <x:c r="G188" s="10" t="str">
        <x:v>not_publicly_found</x:v>
      </x:c>
      <x:c r="H188" s="10" t="str">
        <x:v>not_publicly_found</x:v>
      </x:c>
      <x:c r="I188" s="10" t="str">
        <x:v>group_syndication_route_500k_amount_unverified</x:v>
      </x:c>
      <x:c r="J188" s="11"/>
      <x:c r="K188" s="11"/>
      <x:c r="L188" s="10" t="str">
        <x:v>ACA US regional listing: California, New York, Northeast, Northwest, Texas, West. Listing region does not itself establish a company-investment restriction.</x:v>
      </x:c>
      <x:c r="M188" s="10" t="str"/>
      <x:c r="N188" s="10" t="str">
        <x:v>Conditional research prospect</x:v>
      </x:c>
      <x:c r="O188" s="13" t="str">
        <x:v>new</x:v>
      </x:c>
      <x:c r="P188" s="13" t="str"/>
      <x:c r="Q188" s="10" t="str">
        <x:v>Not contacted / unconfirmed</x:v>
      </x:c>
      <x:c r="R188" s="10" t="str">
        <x:v>unverified</x:v>
      </x:c>
      <x:c r="S188" s="10" t="str">
        <x:v>2026-09-30</x:v>
      </x:c>
      <x:c r="T188" s="10" t="str">
        <x:v>https://www.mossyventures.com/</x:v>
      </x:c>
      <x:c r="U188" s="10" t="str">
        <x:v>54e804cc2f6ed6</x:v>
      </x:c>
    </x:row>
    <x:row r="189" ht="70" customHeight="1">
      <x:c r="A189" s="10" t="str">
        <x:v>c43ed96306f41e</x:v>
      </x:c>
      <x:c r="B189" s="10" t="str">
        <x:v>Nebraska Angels, Inc.</x:v>
      </x:c>
      <x:c r="C189" s="10" t="str"/>
      <x:c r="D189" s="10" t="str">
        <x:v>Angel group / syndication route</x:v>
      </x:c>
      <x:c r="E189" s="12" t="str"/>
      <x:c r="F189" s="12" t="str">
        <x:v>info@nebraskaangels.org</x:v>
      </x:c>
      <x:c r="G189" s="10" t="str">
        <x:v>not_publicly_found</x:v>
      </x:c>
      <x:c r="H189" s="10" t="str">
        <x:v>general_business</x:v>
      </x:c>
      <x:c r="I189" s="10" t="str">
        <x:v>group_syndication_route_500k_amount_unverified</x:v>
      </x:c>
      <x:c r="J189" s="11"/>
      <x:c r="K189" s="11"/>
      <x:c r="L189" s="10" t="str">
        <x:v>ACA US regional listing: Midwest. Listing region does not itself establish a company-investment restriction.</x:v>
      </x:c>
      <x:c r="M189" s="10" t="str"/>
      <x:c r="N189" s="10" t="str">
        <x:v>Conditional research prospect</x:v>
      </x:c>
      <x:c r="O189" s="13" t="str">
        <x:v>new</x:v>
      </x:c>
      <x:c r="P189" s="13" t="str"/>
      <x:c r="Q189" s="10" t="str">
        <x:v>Not contacted / unconfirmed</x:v>
      </x:c>
      <x:c r="R189" s="10" t="str">
        <x:v>unverified</x:v>
      </x:c>
      <x:c r="S189" s="10" t="str">
        <x:v>2026-09-30</x:v>
      </x:c>
      <x:c r="T189" s="10" t="str">
        <x:v>http://www.nebraskaangels.org/</x:v>
      </x:c>
      <x:c r="U189" s="10" t="str">
        <x:v>bb52682c81cdf1</x:v>
      </x:c>
    </x:row>
    <x:row r="190" ht="55" customHeight="1">
      <x:c r="A190" s="10" t="str">
        <x:v>7caa47fc758164</x:v>
      </x:c>
      <x:c r="B190" s="10" t="str">
        <x:v>New Dominion Angels</x:v>
      </x:c>
      <x:c r="C190" s="10" t="str"/>
      <x:c r="D190" s="10" t="str">
        <x:v>Angel group / syndication route</x:v>
      </x:c>
      <x:c r="E190" s="12" t="str"/>
      <x:c r="F190" s="12" t="str"/>
      <x:c r="G190" s="10" t="str">
        <x:v>not_publicly_found</x:v>
      </x:c>
      <x:c r="H190" s="10" t="str">
        <x:v>not_publicly_found</x:v>
      </x:c>
      <x:c r="I190" s="10" t="str">
        <x:v>Published group range includes $500K</x:v>
      </x:c>
      <x:c r="J190" s="11" t="n">
        <x:v>350000</x:v>
      </x:c>
      <x:c r="K190" s="11" t="n">
        <x:v>500000</x:v>
      </x:c>
      <x:c r="L190" s="10" t="str">
        <x:v>Primarily Washington DC, Maryland and Virginia; prefers local/network connections.</x:v>
      </x:c>
      <x:c r="M190" s="10" t="str"/>
      <x:c r="N190" s="10" t="str">
        <x:v>Conditional research prospect</x:v>
      </x:c>
      <x:c r="O190" s="13" t="str">
        <x:v>new</x:v>
      </x:c>
      <x:c r="P190" s="13" t="str"/>
      <x:c r="Q190" s="10" t="str">
        <x:v>Not contacted / unconfirmed</x:v>
      </x:c>
      <x:c r="R190" s="10" t="str">
        <x:v>unverified</x:v>
      </x:c>
      <x:c r="S190" s="10" t="str">
        <x:v>2026-09-30</x:v>
      </x:c>
      <x:c r="T190" s="10" t="str">
        <x:v>http://www.newdominionangels.com/</x:v>
      </x:c>
      <x:c r="U190" s="10" t="str">
        <x:v>262a7debd02417</x:v>
      </x:c>
    </x:row>
    <x:row r="191" ht="55" customHeight="1">
      <x:c r="A191" s="10" t="str">
        <x:v>05b9a831f3403b</x:v>
      </x:c>
      <x:c r="B191" s="10" t="str">
        <x:v>New Louisiana Angel Fund, LLC</x:v>
      </x:c>
      <x:c r="C191" s="10" t="str"/>
      <x:c r="D191" s="10" t="str">
        <x:v>Angel group / syndication route</x:v>
      </x:c>
      <x:c r="E191" s="12" t="str">
        <x:v>1 (318) 716-4100</x:v>
      </x:c>
      <x:c r="F191" s="12" t="str"/>
      <x:c r="G191" s="10" t="str">
        <x:v>parent_institution_business_line</x:v>
      </x:c>
      <x:c r="H191" s="10" t="str">
        <x:v>not_publicly_found</x:v>
      </x:c>
      <x:c r="I191" s="10" t="str">
        <x:v>group_syndication_route_500k_amount_unverified</x:v>
      </x:c>
      <x:c r="J191" s="11"/>
      <x:c r="K191" s="11"/>
      <x:c r="L191" s="10" t="str">
        <x:v>North Louisiana/Shreveport ecosystem.</x:v>
      </x:c>
      <x:c r="M191" s="10" t="str"/>
      <x:c r="N191" s="10" t="str">
        <x:v>Conditional research prospect</x:v>
      </x:c>
      <x:c r="O191" s="13" t="str">
        <x:v>new</x:v>
      </x:c>
      <x:c r="P191" s="13" t="str"/>
      <x:c r="Q191" s="10" t="str">
        <x:v>Not contacted / unconfirmed</x:v>
      </x:c>
      <x:c r="R191" s="10" t="str">
        <x:v>unverified</x:v>
      </x:c>
      <x:c r="S191" s="10" t="str">
        <x:v>2026-09-30</x:v>
      </x:c>
      <x:c r="T191" s="10" t="str">
        <x:v>https://www.brfla.org/new-louisiana-angel-funds/</x:v>
      </x:c>
      <x:c r="U191" s="10" t="str">
        <x:v>3540456596dbeb</x:v>
      </x:c>
    </x:row>
    <x:row r="192" ht="55" customHeight="1">
      <x:c r="A192" s="10" t="str">
        <x:v>8fb5d70772814c</x:v>
      </x:c>
      <x:c r="B192" s="10" t="str">
        <x:v>New Mexico Angels</x:v>
      </x:c>
      <x:c r="C192" s="10" t="str"/>
      <x:c r="D192" s="10" t="str">
        <x:v>Angel group / syndication route</x:v>
      </x:c>
      <x:c r="E192" s="12" t="str"/>
      <x:c r="F192" s="12" t="str"/>
      <x:c r="G192" s="10" t="str">
        <x:v>not_publicly_found</x:v>
      </x:c>
      <x:c r="H192" s="10" t="str">
        <x:v>not_publicly_found</x:v>
      </x:c>
      <x:c r="I192" s="10" t="str">
        <x:v>published_company_capital_need_up_to_500k_not_check_commitment</x:v>
      </x:c>
      <x:c r="J192" s="11"/>
      <x:c r="K192" s="11"/>
      <x:c r="L192" s="10" t="str">
        <x:v>Prefers New Mexico companies, entrepreneurs and regional connections.</x:v>
      </x:c>
      <x:c r="M192" s="10" t="str"/>
      <x:c r="N192" s="10" t="str">
        <x:v>Conditional research prospect</x:v>
      </x:c>
      <x:c r="O192" s="13" t="str">
        <x:v>new</x:v>
      </x:c>
      <x:c r="P192" s="13" t="str"/>
      <x:c r="Q192" s="10" t="str">
        <x:v>Not contacted / unconfirmed</x:v>
      </x:c>
      <x:c r="R192" s="10" t="str">
        <x:v>unverified</x:v>
      </x:c>
      <x:c r="S192" s="10" t="str">
        <x:v>2026-09-30</x:v>
      </x:c>
      <x:c r="T192" s="10" t="str">
        <x:v>http://www.nmangels.com/</x:v>
      </x:c>
      <x:c r="U192" s="10" t="str">
        <x:v>c80eb1f3eccb23</x:v>
      </x:c>
    </x:row>
    <x:row r="193" ht="55" customHeight="1">
      <x:c r="A193" s="10" t="str">
        <x:v>a38f9fa6962f1a</x:v>
      </x:c>
      <x:c r="B193" s="10" t="str">
        <x:v>New York Angels</x:v>
      </x:c>
      <x:c r="C193" s="10" t="str"/>
      <x:c r="D193" s="10" t="str">
        <x:v>Angel group / syndication route</x:v>
      </x:c>
      <x:c r="E193" s="12" t="str"/>
      <x:c r="F193" s="12" t="str"/>
      <x:c r="G193" s="10" t="str">
        <x:v>not_publicly_found</x:v>
      </x:c>
      <x:c r="H193" s="10" t="str">
        <x:v>not_publicly_found</x:v>
      </x:c>
      <x:c r="I193" s="10" t="str">
        <x:v>Range scope needs confirmation</x:v>
      </x:c>
      <x:c r="J193" s="11"/>
      <x:c r="K193" s="11"/>
      <x:c r="L193" s="10" t="str">
        <x:v>New York network with national/international reach.</x:v>
      </x:c>
      <x:c r="M193" s="10" t="str"/>
      <x:c r="N193" s="10" t="str">
        <x:v>Conditional research prospect</x:v>
      </x:c>
      <x:c r="O193" s="13" t="str">
        <x:v>new</x:v>
      </x:c>
      <x:c r="P193" s="13" t="str"/>
      <x:c r="Q193" s="10" t="str">
        <x:v>Not contacted / unconfirmed</x:v>
      </x:c>
      <x:c r="R193" s="10" t="str">
        <x:v>unverified</x:v>
      </x:c>
      <x:c r="S193" s="10" t="str">
        <x:v>2026-09-30</x:v>
      </x:c>
      <x:c r="T193" s="10" t="str">
        <x:v>http://www.newyorkangels.com/</x:v>
      </x:c>
      <x:c r="U193" s="10" t="str">
        <x:v>90e1622b61f4a7</x:v>
      </x:c>
    </x:row>
    <x:row r="194" ht="70" customHeight="1">
      <x:c r="A194" s="10" t="str">
        <x:v>833a697eaeef91</x:v>
      </x:c>
      <x:c r="B194" s="10" t="str">
        <x:v>Ohio State Early Investor Network</x:v>
      </x:c>
      <x:c r="C194" s="10" t="str"/>
      <x:c r="D194" s="10" t="str">
        <x:v>Angel group / syndication route</x:v>
      </x:c>
      <x:c r="E194" s="12" t="str"/>
      <x:c r="F194" s="12" t="str"/>
      <x:c r="G194" s="10" t="str">
        <x:v>not_publicly_found</x:v>
      </x:c>
      <x:c r="H194" s="10" t="str">
        <x:v>not_publicly_found</x:v>
      </x:c>
      <x:c r="I194" s="10" t="str">
        <x:v>group_syndication_route_500k_amount_unverified</x:v>
      </x:c>
      <x:c r="J194" s="11"/>
      <x:c r="K194" s="11"/>
      <x:c r="L194" s="10" t="str">
        <x:v>ACA US regional listing: Midwest. Listing region does not itself establish a company-investment restriction.</x:v>
      </x:c>
      <x:c r="M194" s="10" t="str"/>
      <x:c r="N194" s="10" t="str">
        <x:v>Conditional research prospect</x:v>
      </x:c>
      <x:c r="O194" s="13" t="str">
        <x:v>new</x:v>
      </x:c>
      <x:c r="P194" s="13" t="str"/>
      <x:c r="Q194" s="10" t="str">
        <x:v>Not contacted / unconfirmed</x:v>
      </x:c>
      <x:c r="R194" s="10" t="str">
        <x:v>unverified</x:v>
      </x:c>
      <x:c r="S194" s="10" t="str">
        <x:v>2026-09-30</x:v>
      </x:c>
      <x:c r="T194" s="10" t="str">
        <x:v>https://www.osein.org/</x:v>
      </x:c>
      <x:c r="U194" s="10" t="str">
        <x:v>5e63837c56f2cb</x:v>
      </x:c>
    </x:row>
    <x:row r="195" ht="70" customHeight="1">
      <x:c r="A195" s="10" t="str">
        <x:v>3b5b1a7c7509bc</x:v>
      </x:c>
      <x:c r="B195" s="10" t="str">
        <x:v>Park City Angels</x:v>
      </x:c>
      <x:c r="C195" s="10" t="str"/>
      <x:c r="D195" s="10" t="str">
        <x:v>Angel group / syndication route</x:v>
      </x:c>
      <x:c r="E195" s="12" t="str"/>
      <x:c r="F195" s="12" t="str">
        <x:v>info@parkcityangels.com</x:v>
      </x:c>
      <x:c r="G195" s="10" t="str">
        <x:v>not_publicly_found</x:v>
      </x:c>
      <x:c r="H195" s="10" t="str">
        <x:v>general_business</x:v>
      </x:c>
      <x:c r="I195" s="10" t="str">
        <x:v>group_syndication_route_500k_amount_unverified</x:v>
      </x:c>
      <x:c r="J195" s="11"/>
      <x:c r="K195" s="11"/>
      <x:c r="L195" s="10" t="str">
        <x:v>ACA US regional listing: Northwest. Listing region does not itself establish a company-investment restriction.</x:v>
      </x:c>
      <x:c r="M195" s="10" t="str"/>
      <x:c r="N195" s="10" t="str">
        <x:v>Conditional research prospect</x:v>
      </x:c>
      <x:c r="O195" s="13" t="str">
        <x:v>new</x:v>
      </x:c>
      <x:c r="P195" s="13" t="str"/>
      <x:c r="Q195" s="10" t="str">
        <x:v>Not contacted / unconfirmed</x:v>
      </x:c>
      <x:c r="R195" s="10" t="str">
        <x:v>unverified</x:v>
      </x:c>
      <x:c r="S195" s="10" t="str">
        <x:v>2026-09-30</x:v>
      </x:c>
      <x:c r="T195" s="10" t="str">
        <x:v>https://www.parkcityangels.com/</x:v>
      </x:c>
      <x:c r="U195" s="10" t="str">
        <x:v>1d6c15fef70b4c</x:v>
      </x:c>
    </x:row>
    <x:row r="196" ht="70" customHeight="1">
      <x:c r="A196" s="10" t="str">
        <x:v>96596aafa2eedd</x:v>
      </x:c>
      <x:c r="B196" s="10" t="str">
        <x:v>QCA Ventures</x:v>
      </x:c>
      <x:c r="C196" s="10" t="str"/>
      <x:c r="D196" s="10" t="str">
        <x:v>Angel group / syndication route</x:v>
      </x:c>
      <x:c r="E196" s="12" t="str">
        <x:v>1 (513) 373-6972</x:v>
      </x:c>
      <x:c r="F196" s="12" t="str"/>
      <x:c r="G196" s="10" t="str">
        <x:v>published_business_line</x:v>
      </x:c>
      <x:c r="H196" s="10" t="str">
        <x:v>not_publicly_found</x:v>
      </x:c>
      <x:c r="I196" s="10" t="str">
        <x:v>group_syndication_route_500k_amount_unverified</x:v>
      </x:c>
      <x:c r="J196" s="11"/>
      <x:c r="K196" s="11"/>
      <x:c r="L196" s="10" t="str">
        <x:v>ACA US regional listing: Midwest. Listing region does not itself establish a company-investment restriction.</x:v>
      </x:c>
      <x:c r="M196" s="10" t="str"/>
      <x:c r="N196" s="10" t="str">
        <x:v>Conditional research prospect</x:v>
      </x:c>
      <x:c r="O196" s="13" t="str">
        <x:v>new</x:v>
      </x:c>
      <x:c r="P196" s="13" t="str"/>
      <x:c r="Q196" s="10" t="str">
        <x:v>Not contacted / unconfirmed</x:v>
      </x:c>
      <x:c r="R196" s="10" t="str">
        <x:v>unverified</x:v>
      </x:c>
      <x:c r="S196" s="10" t="str">
        <x:v>2026-09-30</x:v>
      </x:c>
      <x:c r="T196" s="10" t="str">
        <x:v>http://www.qca.com/</x:v>
      </x:c>
      <x:c r="U196" s="10" t="str">
        <x:v>cb2960b423112e</x:v>
      </x:c>
    </x:row>
    <x:row r="197" ht="70" customHeight="1">
      <x:c r="A197" s="10" t="str">
        <x:v>6de0d4bd645dc0</x:v>
      </x:c>
      <x:c r="B197" s="10" t="str">
        <x:v>Rose Angel Network LLC.</x:v>
      </x:c>
      <x:c r="C197" s="10" t="str"/>
      <x:c r="D197" s="10" t="str">
        <x:v>Angel group / syndication route</x:v>
      </x:c>
      <x:c r="E197" s="12" t="str"/>
      <x:c r="F197" s="12" t="str">
        <x:v>info@roseangels.org</x:v>
      </x:c>
      <x:c r="G197" s="10" t="str">
        <x:v>not_publicly_found</x:v>
      </x:c>
      <x:c r="H197" s="10" t="str">
        <x:v>general_business</x:v>
      </x:c>
      <x:c r="I197" s="10" t="str">
        <x:v>group_syndication_route_500k_amount_unverified</x:v>
      </x:c>
      <x:c r="J197" s="11"/>
      <x:c r="K197" s="11"/>
      <x:c r="L197" s="10" t="str">
        <x:v>ACA US regional listing: Southeast. Listing region does not itself establish a company-investment restriction.</x:v>
      </x:c>
      <x:c r="M197" s="10" t="str"/>
      <x:c r="N197" s="10" t="str">
        <x:v>Conditional research prospect</x:v>
      </x:c>
      <x:c r="O197" s="13" t="str">
        <x:v>new</x:v>
      </x:c>
      <x:c r="P197" s="13" t="str"/>
      <x:c r="Q197" s="10" t="str">
        <x:v>Not contacted / unconfirmed</x:v>
      </x:c>
      <x:c r="R197" s="10" t="str">
        <x:v>unverified</x:v>
      </x:c>
      <x:c r="S197" s="10" t="str">
        <x:v>2026-09-30</x:v>
      </x:c>
      <x:c r="T197" s="10" t="str">
        <x:v>http://www.roseangels.org/</x:v>
      </x:c>
      <x:c r="U197" s="10" t="str">
        <x:v>430da38d5419a8</x:v>
      </x:c>
    </x:row>
    <x:row r="198" ht="70" customHeight="1">
      <x:c r="A198" s="10" t="str">
        <x:v>e7e34aa1bb671d</x:v>
      </x:c>
      <x:c r="B198" s="10" t="str">
        <x:v>RTP Angel Fund</x:v>
      </x:c>
      <x:c r="C198" s="10" t="str"/>
      <x:c r="D198" s="10" t="str">
        <x:v>Angel group / syndication route</x:v>
      </x:c>
      <x:c r="E198" s="12" t="str"/>
      <x:c r="F198" s="12" t="str">
        <x:v>info@rtpangelfund.com</x:v>
      </x:c>
      <x:c r="G198" s="10" t="str">
        <x:v>not_publicly_found</x:v>
      </x:c>
      <x:c r="H198" s="10" t="str">
        <x:v>general_business</x:v>
      </x:c>
      <x:c r="I198" s="10" t="str">
        <x:v>group_syndication_route_500k_amount_unverified</x:v>
      </x:c>
      <x:c r="J198" s="11"/>
      <x:c r="K198" s="11"/>
      <x:c r="L198" s="10" t="str">
        <x:v>ACA US regional listing: Southeast. Listing region does not itself establish a company-investment restriction.</x:v>
      </x:c>
      <x:c r="M198" s="10" t="str"/>
      <x:c r="N198" s="10" t="str">
        <x:v>Conditional research prospect</x:v>
      </x:c>
      <x:c r="O198" s="13" t="str">
        <x:v>new</x:v>
      </x:c>
      <x:c r="P198" s="13" t="str"/>
      <x:c r="Q198" s="10" t="str">
        <x:v>Not contacted / unconfirmed</x:v>
      </x:c>
      <x:c r="R198" s="10" t="str">
        <x:v>unverified</x:v>
      </x:c>
      <x:c r="S198" s="10" t="str">
        <x:v>2026-09-30</x:v>
      </x:c>
      <x:c r="T198" s="10" t="str">
        <x:v>https://www.rtpangelfund.com/</x:v>
      </x:c>
      <x:c r="U198" s="10" t="str">
        <x:v>5cd88ecb095b11</x:v>
      </x:c>
    </x:row>
    <x:row r="199" ht="70" customHeight="1">
      <x:c r="A199" s="10" t="str">
        <x:v>6aa2b9ed88bb74</x:v>
      </x:c>
      <x:c r="B199" s="10" t="str">
        <x:v>Sacramento Angels</x:v>
      </x:c>
      <x:c r="C199" s="10" t="str"/>
      <x:c r="D199" s="10" t="str">
        <x:v>Angel group / syndication route</x:v>
      </x:c>
      <x:c r="E199" s="12" t="str"/>
      <x:c r="F199" s="12" t="str"/>
      <x:c r="G199" s="10" t="str">
        <x:v>not_publicly_found</x:v>
      </x:c>
      <x:c r="H199" s="10" t="str">
        <x:v>not_publicly_found</x:v>
      </x:c>
      <x:c r="I199" s="10" t="str">
        <x:v>group_syndication_route_500k_amount_unverified</x:v>
      </x:c>
      <x:c r="J199" s="11"/>
      <x:c r="K199" s="11"/>
      <x:c r="L199" s="10" t="str">
        <x:v>ACA US regional listing: California. Listing region does not itself establish a company-investment restriction.</x:v>
      </x:c>
      <x:c r="M199" s="10" t="str"/>
      <x:c r="N199" s="10" t="str">
        <x:v>Conditional research prospect</x:v>
      </x:c>
      <x:c r="O199" s="13" t="str">
        <x:v>new</x:v>
      </x:c>
      <x:c r="P199" s="13" t="str"/>
      <x:c r="Q199" s="10" t="str">
        <x:v>Not contacted / unconfirmed</x:v>
      </x:c>
      <x:c r="R199" s="10" t="str">
        <x:v>unverified</x:v>
      </x:c>
      <x:c r="S199" s="10" t="str">
        <x:v>2026-09-30</x:v>
      </x:c>
      <x:c r="T199" s="10" t="str">
        <x:v>http://www.sacangels.com/</x:v>
      </x:c>
      <x:c r="U199" s="10" t="str">
        <x:v>fdb0b64517f96e</x:v>
      </x:c>
    </x:row>
    <x:row r="200" ht="70" customHeight="1">
      <x:c r="A200" s="10" t="str">
        <x:v>b17e515d4260c8</x:v>
      </x:c>
      <x:c r="B200" s="10" t="str">
        <x:v>Santa Barbara Angel Alliance</x:v>
      </x:c>
      <x:c r="C200" s="10" t="str"/>
      <x:c r="D200" s="10" t="str">
        <x:v>Angel group / syndication route</x:v>
      </x:c>
      <x:c r="E200" s="12" t="str"/>
      <x:c r="F200" s="12" t="str"/>
      <x:c r="G200" s="10" t="str">
        <x:v>not_publicly_found</x:v>
      </x:c>
      <x:c r="H200" s="10" t="str">
        <x:v>not_publicly_found</x:v>
      </x:c>
      <x:c r="I200" s="10" t="str">
        <x:v>group_syndication_route_500k_amount_unverified</x:v>
      </x:c>
      <x:c r="J200" s="11"/>
      <x:c r="K200" s="11"/>
      <x:c r="L200" s="10" t="str">
        <x:v>ACA US regional listing: California. Listing region does not itself establish a company-investment restriction.</x:v>
      </x:c>
      <x:c r="M200" s="10" t="str"/>
      <x:c r="N200" s="10" t="str">
        <x:v>Conditional research prospect</x:v>
      </x:c>
      <x:c r="O200" s="13" t="str">
        <x:v>new</x:v>
      </x:c>
      <x:c r="P200" s="13" t="str"/>
      <x:c r="Q200" s="10" t="str">
        <x:v>Not contacted / unconfirmed</x:v>
      </x:c>
      <x:c r="R200" s="10" t="str">
        <x:v>unverified</x:v>
      </x:c>
      <x:c r="S200" s="10" t="str">
        <x:v>2026-09-30</x:v>
      </x:c>
      <x:c r="T200" s="10" t="str">
        <x:v>http://www.sbangelalliance.com/</x:v>
      </x:c>
      <x:c r="U200" s="10" t="str">
        <x:v>75538b92df5d88</x:v>
      </x:c>
    </x:row>
    <x:row r="201" ht="55" customHeight="1">
      <x:c r="A201" s="10" t="str">
        <x:v>6b210c62f56e9d</x:v>
      </x:c>
      <x:c r="B201" s="10" t="str">
        <x:v>Seraph Direct</x:v>
      </x:c>
      <x:c r="C201" s="10" t="str">
        <x:v>Tuff Yen</x:v>
      </x:c>
      <x:c r="D201" s="10" t="str">
        <x:v>Angel group / syndication route</x:v>
      </x:c>
      <x:c r="E201" s="12" t="str"/>
      <x:c r="F201" s="12" t="str">
        <x:v>info@tuffyen.com</x:v>
      </x:c>
      <x:c r="G201" s="10" t="str">
        <x:v>not_publicly_found</x:v>
      </x:c>
      <x:c r="H201" s="10" t="str">
        <x:v>founder_office_general_business</x:v>
      </x:c>
      <x:c r="I201" s="10" t="str">
        <x:v>group_syndication_route_500k_amount_unverified</x:v>
      </x:c>
      <x:c r="J201" s="11"/>
      <x:c r="K201" s="11"/>
      <x:c r="L201" s="10" t="str">
        <x:v>Seraph Group official address: Milton, Georgia; global platform.</x:v>
      </x:c>
      <x:c r="M201" s="10" t="str"/>
      <x:c r="N201" s="10" t="str">
        <x:v>Conditional research prospect</x:v>
      </x:c>
      <x:c r="O201" s="13" t="str">
        <x:v>new</x:v>
      </x:c>
      <x:c r="P201" s="13" t="str"/>
      <x:c r="Q201" s="10" t="str">
        <x:v>Not contacted / unconfirmed</x:v>
      </x:c>
      <x:c r="R201" s="10" t="str">
        <x:v>unverified</x:v>
      </x:c>
      <x:c r="S201" s="10" t="str">
        <x:v>2026-09-30</x:v>
      </x:c>
      <x:c r="T201" s="10" t="str">
        <x:v>https://seraphdirect.com/</x:v>
      </x:c>
      <x:c r="U201" s="10" t="str">
        <x:v>ccd4e028b892a1</x:v>
      </x:c>
    </x:row>
    <x:row r="202" ht="70" customHeight="1">
      <x:c r="A202" s="10" t="str">
        <x:v>dbab4d61319d07</x:v>
      </x:c>
      <x:c r="B202" s="10" t="str">
        <x:v>SideCar Angels</x:v>
      </x:c>
      <x:c r="C202" s="10" t="str"/>
      <x:c r="D202" s="10" t="str">
        <x:v>Angel group / syndication route</x:v>
      </x:c>
      <x:c r="E202" s="12" t="str"/>
      <x:c r="F202" s="12" t="str"/>
      <x:c r="G202" s="10" t="str">
        <x:v>not_publicly_found</x:v>
      </x:c>
      <x:c r="H202" s="10" t="str">
        <x:v>not_publicly_found</x:v>
      </x:c>
      <x:c r="I202" s="10" t="str">
        <x:v>group_syndication_route_500k_amount_unverified</x:v>
      </x:c>
      <x:c r="J202" s="11"/>
      <x:c r="K202" s="11"/>
      <x:c r="L202" s="10" t="str">
        <x:v>ACA US regional listing: National, New England. Listing region does not itself establish a company-investment restriction.</x:v>
      </x:c>
      <x:c r="M202" s="10" t="str"/>
      <x:c r="N202" s="10" t="str">
        <x:v>Conditional research prospect</x:v>
      </x:c>
      <x:c r="O202" s="13" t="str">
        <x:v>new</x:v>
      </x:c>
      <x:c r="P202" s="13" t="str"/>
      <x:c r="Q202" s="10" t="str">
        <x:v>Not contacted / unconfirmed</x:v>
      </x:c>
      <x:c r="R202" s="10" t="str">
        <x:v>unverified</x:v>
      </x:c>
      <x:c r="S202" s="10" t="str">
        <x:v>2026-09-30</x:v>
      </x:c>
      <x:c r="T202" s="10" t="str">
        <x:v>http://www.sidecarangels.com/</x:v>
      </x:c>
      <x:c r="U202" s="10" t="str">
        <x:v>80117d7eaacc1d</x:v>
      </x:c>
    </x:row>
    <x:row r="203" ht="70" customHeight="1">
      <x:c r="A203" s="10" t="str">
        <x:v>e0d6fefc56ba29</x:v>
      </x:c>
      <x:c r="B203" s="10" t="str">
        <x:v>SoundBoard Venture Funds</x:v>
      </x:c>
      <x:c r="C203" s="10" t="str"/>
      <x:c r="D203" s="10" t="str">
        <x:v>Angel group / syndication route</x:v>
      </x:c>
      <x:c r="E203" s="12" t="str"/>
      <x:c r="F203" s="12" t="str"/>
      <x:c r="G203" s="10" t="str">
        <x:v>not_publicly_found</x:v>
      </x:c>
      <x:c r="H203" s="10" t="str">
        <x:v>not_publicly_found</x:v>
      </x:c>
      <x:c r="I203" s="10" t="str">
        <x:v>group_syndication_route_500k_amount_unverified</x:v>
      </x:c>
      <x:c r="J203" s="11"/>
      <x:c r="K203" s="11"/>
      <x:c r="L203" s="10" t="str">
        <x:v>ACA US regional listing: Mid-Atlantic. Listing region does not itself establish a company-investment restriction.</x:v>
      </x:c>
      <x:c r="M203" s="10" t="str"/>
      <x:c r="N203" s="10" t="str">
        <x:v>Conditional research prospect</x:v>
      </x:c>
      <x:c r="O203" s="13" t="str">
        <x:v>new</x:v>
      </x:c>
      <x:c r="P203" s="13" t="str"/>
      <x:c r="Q203" s="10" t="str">
        <x:v>Not contacted / unconfirmed</x:v>
      </x:c>
      <x:c r="R203" s="10" t="str">
        <x:v>unverified</x:v>
      </x:c>
      <x:c r="S203" s="10" t="str">
        <x:v>2026-09-30</x:v>
      </x:c>
      <x:c r="T203" s="10" t="str">
        <x:v>https://www.soundboardventurefund.com/</x:v>
      </x:c>
      <x:c r="U203" s="10" t="str">
        <x:v>2cd6f12750dda8</x:v>
      </x:c>
    </x:row>
    <x:row r="204" ht="70" customHeight="1">
      <x:c r="A204" s="10" t="str">
        <x:v>36d6e9d2214df4</x:v>
      </x:c>
      <x:c r="B204" s="10" t="str">
        <x:v>St. Louis Arch Angels</x:v>
      </x:c>
      <x:c r="C204" s="10" t="str"/>
      <x:c r="D204" s="10" t="str">
        <x:v>Angel group / syndication route</x:v>
      </x:c>
      <x:c r="E204" s="12" t="str"/>
      <x:c r="F204" s="12" t="str">
        <x:v>bkinman902@gmail.com</x:v>
      </x:c>
      <x:c r="G204" s="10" t="str">
        <x:v>not_publicly_found</x:v>
      </x:c>
      <x:c r="H204" s="10" t="str">
        <x:v>published_business</x:v>
      </x:c>
      <x:c r="I204" s="10" t="str">
        <x:v>group_syndication_route_500k_amount_unverified</x:v>
      </x:c>
      <x:c r="J204" s="11"/>
      <x:c r="K204" s="11"/>
      <x:c r="L204" s="10" t="str">
        <x:v>ACA US regional listing: Midwest. Listing region does not itself establish a company-investment restriction.</x:v>
      </x:c>
      <x:c r="M204" s="10" t="str"/>
      <x:c r="N204" s="10" t="str">
        <x:v>Conditional research prospect</x:v>
      </x:c>
      <x:c r="O204" s="13" t="str">
        <x:v>new</x:v>
      </x:c>
      <x:c r="P204" s="13" t="str"/>
      <x:c r="Q204" s="10" t="str">
        <x:v>Not contacted / unconfirmed</x:v>
      </x:c>
      <x:c r="R204" s="10" t="str">
        <x:v>unverified</x:v>
      </x:c>
      <x:c r="S204" s="10" t="str">
        <x:v>2026-09-30</x:v>
      </x:c>
      <x:c r="T204" s="10" t="str">
        <x:v>http://www.stlouisarchangels.com/</x:v>
      </x:c>
      <x:c r="U204" s="10" t="str">
        <x:v>874b5fc8be6803</x:v>
      </x:c>
    </x:row>
    <x:row r="205" ht="55" customHeight="1">
      <x:c r="A205" s="10" t="str">
        <x:v>6fa20463784a12</x:v>
      </x:c>
      <x:c r="B205" s="10" t="str">
        <x:v>TCA Venture Group</x:v>
      </x:c>
      <x:c r="C205" s="10" t="str"/>
      <x:c r="D205" s="10" t="str">
        <x:v>Angel group / syndication route</x:v>
      </x:c>
      <x:c r="E205" s="12" t="str"/>
      <x:c r="F205" s="12" t="str"/>
      <x:c r="G205" s="10" t="str">
        <x:v>not_publicly_found</x:v>
      </x:c>
      <x:c r="H205" s="10" t="str">
        <x:v>not_publicly_found</x:v>
      </x:c>
      <x:c r="I205" s="10" t="str">
        <x:v>group_syndication_route_500k_amount_unverified</x:v>
      </x:c>
      <x:c r="J205" s="11"/>
      <x:c r="K205" s="11"/>
      <x:c r="L205" s="10" t="str">
        <x:v>Headquartered Southern California; US/Canada companies with California preference.</x:v>
      </x:c>
      <x:c r="M205" s="10" t="str"/>
      <x:c r="N205" s="10" t="str">
        <x:v>Conditional research prospect</x:v>
      </x:c>
      <x:c r="O205" s="13" t="str">
        <x:v>new</x:v>
      </x:c>
      <x:c r="P205" s="13" t="str"/>
      <x:c r="Q205" s="10" t="str">
        <x:v>Not contacted / unconfirmed</x:v>
      </x:c>
      <x:c r="R205" s="10" t="str">
        <x:v>unverified</x:v>
      </x:c>
      <x:c r="S205" s="10" t="str">
        <x:v>2026-09-30</x:v>
      </x:c>
      <x:c r="T205" s="10" t="str">
        <x:v>https://tcaventuregroup.com/</x:v>
      </x:c>
      <x:c r="U205" s="10" t="str">
        <x:v>dd73c34d401a3c</x:v>
      </x:c>
    </x:row>
    <x:row r="206" ht="70" customHeight="1">
      <x:c r="A206" s="10" t="str">
        <x:v>cfb5d7d7ee4a51</x:v>
      </x:c>
      <x:c r="B206" s="10" t="str">
        <x:v>TiE Global Angels</x:v>
      </x:c>
      <x:c r="C206" s="10" t="str"/>
      <x:c r="D206" s="10" t="str">
        <x:v>Angel group / syndication route</x:v>
      </x:c>
      <x:c r="E206" s="12" t="str">
        <x:v>1 (408) 567-0700</x:v>
      </x:c>
      <x:c r="F206" s="12" t="str"/>
      <x:c r="G206" s="10" t="str">
        <x:v>parent_institution_business_line</x:v>
      </x:c>
      <x:c r="H206" s="10" t="str">
        <x:v>not_publicly_found</x:v>
      </x:c>
      <x:c r="I206" s="10" t="str">
        <x:v>group_syndication_route_500k_amount_unverified</x:v>
      </x:c>
      <x:c r="J206" s="11"/>
      <x:c r="K206" s="11"/>
      <x:c r="L206" s="10" t="str">
        <x:v>TiE Global published office: 3964 Rivermark Plaza #113, Santa Clara CA95054; global investment network.</x:v>
      </x:c>
      <x:c r="M206" s="10" t="str"/>
      <x:c r="N206" s="10" t="str">
        <x:v>Conditional research prospect</x:v>
      </x:c>
      <x:c r="O206" s="13" t="str">
        <x:v>new</x:v>
      </x:c>
      <x:c r="P206" s="13" t="str"/>
      <x:c r="Q206" s="10" t="str">
        <x:v>Not contacted / unconfirmed</x:v>
      </x:c>
      <x:c r="R206" s="10" t="str">
        <x:v>unverified</x:v>
      </x:c>
      <x:c r="S206" s="10" t="str">
        <x:v>2026-09-30</x:v>
      </x:c>
      <x:c r="T206" s="10" t="str">
        <x:v>https://angels.tie.org/</x:v>
      </x:c>
      <x:c r="U206" s="10" t="str">
        <x:v>44506014f9927b</x:v>
      </x:c>
    </x:row>
    <x:row r="207" ht="70" customHeight="1">
      <x:c r="A207" s="10" t="str">
        <x:v>16d7c111dfc88a</x:v>
      </x:c>
      <x:c r="B207" s="10" t="str">
        <x:v>VentureSouth</x:v>
      </x:c>
      <x:c r="C207" s="10" t="str"/>
      <x:c r="D207" s="10" t="str">
        <x:v>Angel group / syndication route</x:v>
      </x:c>
      <x:c r="E207" s="12" t="str"/>
      <x:c r="F207" s="12" t="str"/>
      <x:c r="G207" s="10" t="str">
        <x:v>not_publicly_found</x:v>
      </x:c>
      <x:c r="H207" s="10" t="str">
        <x:v>not_publicly_found</x:v>
      </x:c>
      <x:c r="I207" s="10" t="str">
        <x:v>group_syndication_route_500k_amount_unverified</x:v>
      </x:c>
      <x:c r="J207" s="11"/>
      <x:c r="K207" s="11"/>
      <x:c r="L207" s="10" t="str">
        <x:v>ACA US regional listing: Southeast. Listing region does not itself establish a company-investment restriction.</x:v>
      </x:c>
      <x:c r="M207" s="10" t="str"/>
      <x:c r="N207" s="10" t="str">
        <x:v>Conditional research prospect</x:v>
      </x:c>
      <x:c r="O207" s="13" t="str">
        <x:v>new</x:v>
      </x:c>
      <x:c r="P207" s="13" t="str"/>
      <x:c r="Q207" s="10" t="str">
        <x:v>Not contacted / unconfirmed</x:v>
      </x:c>
      <x:c r="R207" s="10" t="str">
        <x:v>unverified</x:v>
      </x:c>
      <x:c r="S207" s="10" t="str">
        <x:v>2026-09-30</x:v>
      </x:c>
      <x:c r="T207" s="10" t="str">
        <x:v>http://www.venturesouth.vc/</x:v>
      </x:c>
      <x:c r="U207" s="10" t="str">
        <x:v>ca0687bbd14147</x:v>
      </x:c>
    </x:row>
    <x:row r="208" ht="55" customHeight="1">
      <x:c r="A208" s="10" t="str">
        <x:v>43dd4a8a0cea0b</x:v>
      </x:c>
      <x:c r="B208" s="10" t="str">
        <x:v>VisionTech Angels</x:v>
      </x:c>
      <x:c r="C208" s="10" t="str"/>
      <x:c r="D208" s="10" t="str">
        <x:v>Angel group / syndication route</x:v>
      </x:c>
      <x:c r="E208" s="12" t="str">
        <x:v>1 (317) 701-1711</x:v>
      </x:c>
      <x:c r="F208" s="12" t="str"/>
      <x:c r="G208" s="10" t="str">
        <x:v>published_business_line</x:v>
      </x:c>
      <x:c r="H208" s="10" t="str">
        <x:v>not_publicly_found</x:v>
      </x:c>
      <x:c r="I208" s="10" t="str">
        <x:v>Published group range includes $500K</x:v>
      </x:c>
      <x:c r="J208" s="11" t="n">
        <x:v>150000</x:v>
      </x:c>
      <x:c r="K208" s="11" t="n">
        <x:v>500000</x:v>
      </x:c>
      <x:c r="L208" s="10" t="str">
        <x:v>ACA Midwest listing; exact geography restrictions require confirmation.</x:v>
      </x:c>
      <x:c r="M208" s="10" t="str"/>
      <x:c r="N208" s="10" t="str">
        <x:v>Conditional research prospect</x:v>
      </x:c>
      <x:c r="O208" s="13" t="str">
        <x:v>new</x:v>
      </x:c>
      <x:c r="P208" s="13" t="str"/>
      <x:c r="Q208" s="10" t="str">
        <x:v>Not contacted / unconfirmed</x:v>
      </x:c>
      <x:c r="R208" s="10" t="str">
        <x:v>unverified</x:v>
      </x:c>
      <x:c r="S208" s="10" t="str">
        <x:v>2026-09-30</x:v>
      </x:c>
      <x:c r="T208" s="10" t="str">
        <x:v>http://www.visiontech-partners.com/</x:v>
      </x:c>
      <x:c r="U208" s="10" t="str">
        <x:v>63ec39ad2d6b11</x:v>
      </x:c>
    </x:row>
    <x:row r="209" ht="70" customHeight="1">
      <x:c r="A209" s="10" t="str">
        <x:v>209e5ddaf6b904</x:v>
      </x:c>
      <x:c r="B209" s="10" t="str">
        <x:v>Westchester Angel Network</x:v>
      </x:c>
      <x:c r="C209" s="10" t="str"/>
      <x:c r="D209" s="10" t="str">
        <x:v>Angel group / syndication route</x:v>
      </x:c>
      <x:c r="E209" s="12" t="str"/>
      <x:c r="F209" s="12" t="str">
        <x:v>sandy@westchesterangels.com</x:v>
      </x:c>
      <x:c r="G209" s="10" t="str">
        <x:v>not_publicly_found</x:v>
      </x:c>
      <x:c r="H209" s="10" t="str">
        <x:v>published_business</x:v>
      </x:c>
      <x:c r="I209" s="10" t="str">
        <x:v>group_syndication_route_500k_amount_unverified</x:v>
      </x:c>
      <x:c r="J209" s="11"/>
      <x:c r="K209" s="11"/>
      <x:c r="L209" s="10" t="str">
        <x:v>ACA US regional listing: New York. Listing region does not itself establish a company-investment restriction.</x:v>
      </x:c>
      <x:c r="M209" s="10" t="str"/>
      <x:c r="N209" s="10" t="str">
        <x:v>Conditional research prospect</x:v>
      </x:c>
      <x:c r="O209" s="13" t="str">
        <x:v>new</x:v>
      </x:c>
      <x:c r="P209" s="13" t="str"/>
      <x:c r="Q209" s="10" t="str">
        <x:v>Not contacted / unconfirmed</x:v>
      </x:c>
      <x:c r="R209" s="10" t="str">
        <x:v>unverified</x:v>
      </x:c>
      <x:c r="S209" s="10" t="str">
        <x:v>2026-09-30</x:v>
      </x:c>
      <x:c r="T209" s="10" t="str">
        <x:v>http://www.westchesterangels.com/</x:v>
      </x:c>
      <x:c r="U209" s="10" t="str">
        <x:v>9ae0ef31279ed9</x:v>
      </x:c>
    </x:row>
    <x:row r="210" ht="55" customHeight="1">
      <x:c r="A210" s="10" t="str">
        <x:v>d535a6d3648e7d</x:v>
      </x:c>
      <x:c r="B210" s="10" t="str">
        <x:v>Ant Venture Partners</x:v>
      </x:c>
      <x:c r="C210" s="10" t="str"/>
      <x:c r="D210" s="10" t="str">
        <x:v>Corporate equity firm</x:v>
      </x:c>
      <x:c r="E210" s="12" t="str"/>
      <x:c r="F210" s="12" t="str"/>
      <x:c r="G210" s="10" t="str">
        <x:v>Published business line; directness unconfirmed</x:v>
      </x:c>
      <x:c r="H210" s="10" t="str">
        <x:v>Published firm inbox</x:v>
      </x:c>
      <x:c r="I210" s="10" t="str">
        <x:v>Not published / unconfirmed</x:v>
      </x:c>
      <x:c r="J210" s="11"/>
      <x:c r="K210" s="11"/>
      <x:c r="L210" s="10" t="str">
        <x:v>country: US business context requires source-specific verification; city: ; state: </x:v>
      </x:c>
      <x:c r="M210" s="10" t="str">
        <x:v>Published corporate routing contact</x:v>
      </x:c>
      <x:c r="N210" s="10" t="str">
        <x:v>Conditional research prospect</x:v>
      </x:c>
      <x:c r="O210" s="13" t="str">
        <x:v>new</x:v>
      </x:c>
      <x:c r="P210" s="13" t="str"/>
      <x:c r="Q210" s="10" t="str">
        <x:v>Not contacted / unconfirmed</x:v>
      </x:c>
      <x:c r="R210" s="10" t="str">
        <x:v>unverified</x:v>
      </x:c>
      <x:c r="S210" s="10" t="str">
        <x:v>2026-09-30</x:v>
      </x:c>
      <x:c r="T210" s="10" t="str">
        <x:v>https://www.antvp.com/</x:v>
      </x:c>
      <x:c r="U210" s="10" t="str">
        <x:v>3d5a8503ad18ec</x:v>
      </x:c>
    </x:row>
    <x:row r="211" ht="55" customHeight="1">
      <x:c r="A211" s="10" t="str">
        <x:v>9300f9eb43f3e6</x:v>
      </x:c>
      <x:c r="B211" s="10" t="str">
        <x:v>Benevolent Capital Group</x:v>
      </x:c>
      <x:c r="C211" s="10" t="str"/>
      <x:c r="D211" s="10" t="str">
        <x:v>Corporate equity firm</x:v>
      </x:c>
      <x:c r="E211" s="12" t="str"/>
      <x:c r="F211" s="12" t="str"/>
      <x:c r="G211" s="10" t="str">
        <x:v>Published business line; directness unconfirmed</x:v>
      </x:c>
      <x:c r="H211" s="10" t="str">
        <x:v>Published firm inbox</x:v>
      </x:c>
      <x:c r="I211" s="10" t="str">
        <x:v>Not published / unconfirmed</x:v>
      </x:c>
      <x:c r="J211" s="11"/>
      <x:c r="K211" s="11"/>
      <x:c r="L211" s="10" t="str">
        <x:v>country: US business context requires source-specific verification; city: ; state: </x:v>
      </x:c>
      <x:c r="M211" s="10" t="str">
        <x:v>Published corporate routing contact</x:v>
      </x:c>
      <x:c r="N211" s="10" t="str">
        <x:v>Conditional research prospect</x:v>
      </x:c>
      <x:c r="O211" s="13" t="str">
        <x:v>new</x:v>
      </x:c>
      <x:c r="P211" s="13" t="str"/>
      <x:c r="Q211" s="10" t="str">
        <x:v>Not contacted / unconfirmed</x:v>
      </x:c>
      <x:c r="R211" s="10" t="str">
        <x:v>unverified</x:v>
      </x:c>
      <x:c r="S211" s="10" t="str">
        <x:v>2026-09-30</x:v>
      </x:c>
      <x:c r="T211" s="10" t="str">
        <x:v>https://benevolentcapitalgroup.com/</x:v>
      </x:c>
      <x:c r="U211" s="10" t="str">
        <x:v>326ec2145451ba</x:v>
      </x:c>
    </x:row>
    <x:row r="212" ht="55" customHeight="1">
      <x:c r="A212" s="10" t="str">
        <x:v>7416c408ea0fe1</x:v>
      </x:c>
      <x:c r="B212" s="10" t="str">
        <x:v>Boring Business Fund</x:v>
      </x:c>
      <x:c r="C212" s="10" t="str"/>
      <x:c r="D212" s="10" t="str">
        <x:v>Corporate equity firm</x:v>
      </x:c>
      <x:c r="E212" s="12" t="str"/>
      <x:c r="F212" s="12" t="str">
        <x:v>contact@boringbusinessfund.com</x:v>
      </x:c>
      <x:c r="G212" s="10" t="str">
        <x:v>Published business line; directness unconfirmed</x:v>
      </x:c>
      <x:c r="H212" s="10" t="str">
        <x:v>Published firm inbox</x:v>
      </x:c>
      <x:c r="I212" s="10" t="str">
        <x:v>Not published / unconfirmed</x:v>
      </x:c>
      <x:c r="J212" s="11"/>
      <x:c r="K212" s="11"/>
      <x:c r="L212" s="10" t="str">
        <x:v>country: US business context requires source-specific verification; city: ; state: </x:v>
      </x:c>
      <x:c r="M212" s="10" t="str">
        <x:v>Published corporate routing contact</x:v>
      </x:c>
      <x:c r="N212" s="10" t="str">
        <x:v>Conditional research prospect</x:v>
      </x:c>
      <x:c r="O212" s="13" t="str">
        <x:v>new</x:v>
      </x:c>
      <x:c r="P212" s="13" t="str"/>
      <x:c r="Q212" s="10" t="str">
        <x:v>Not contacted / unconfirmed</x:v>
      </x:c>
      <x:c r="R212" s="10" t="str">
        <x:v>unverified</x:v>
      </x:c>
      <x:c r="S212" s="10" t="str">
        <x:v>2026-09-30</x:v>
      </x:c>
      <x:c r="T212" s="10" t="str">
        <x:v>https://www.boringbusinessfund.com/</x:v>
      </x:c>
      <x:c r="U212" s="10" t="str">
        <x:v>b3c73579cd7763</x:v>
      </x:c>
    </x:row>
    <x:row r="213" ht="55" customHeight="1">
      <x:c r="A213" s="10" t="str">
        <x:v>0ad7cbd6dc5f3e</x:v>
      </x:c>
      <x:c r="B213" s="10" t="str">
        <x:v>Cloud Peak Co.</x:v>
      </x:c>
      <x:c r="C213" s="10" t="str"/>
      <x:c r="D213" s="10" t="str">
        <x:v>Corporate equity firm</x:v>
      </x:c>
      <x:c r="E213" s="12" t="str"/>
      <x:c r="F213" s="12" t="str">
        <x:v>jeremy@cloudpeakco.com</x:v>
      </x:c>
      <x:c r="G213" s="10" t="str">
        <x:v>Published business line; directness unconfirmed</x:v>
      </x:c>
      <x:c r="H213" s="10" t="str">
        <x:v>Published firm inbox</x:v>
      </x:c>
      <x:c r="I213" s="10" t="str">
        <x:v>Not published / unconfirmed</x:v>
      </x:c>
      <x:c r="J213" s="11"/>
      <x:c r="K213" s="11"/>
      <x:c r="L213" s="10" t="str">
        <x:v>country: US business context requires source-specific verification; city: ; state: </x:v>
      </x:c>
      <x:c r="M213" s="10" t="str">
        <x:v>Published corporate routing contact</x:v>
      </x:c>
      <x:c r="N213" s="10" t="str">
        <x:v>Conditional research prospect</x:v>
      </x:c>
      <x:c r="O213" s="13" t="str">
        <x:v>new</x:v>
      </x:c>
      <x:c r="P213" s="13" t="str"/>
      <x:c r="Q213" s="10" t="str">
        <x:v>Not contacted / unconfirmed</x:v>
      </x:c>
      <x:c r="R213" s="10" t="str">
        <x:v>unverified</x:v>
      </x:c>
      <x:c r="S213" s="10" t="str">
        <x:v>2026-09-30</x:v>
      </x:c>
      <x:c r="T213" s="10" t="str">
        <x:v>https://cloudpeakco.com/</x:v>
      </x:c>
      <x:c r="U213" s="10" t="str">
        <x:v>8f4786c92d82f5</x:v>
      </x:c>
    </x:row>
    <x:row r="214" ht="55" customHeight="1">
      <x:c r="A214" s="10" t="str">
        <x:v>b82e677bc0aae6</x:v>
      </x:c>
      <x:c r="B214" s="10" t="str">
        <x:v>Horizon Point Capital</x:v>
      </x:c>
      <x:c r="C214" s="10" t="str"/>
      <x:c r="D214" s="10" t="str">
        <x:v>Corporate equity firm</x:v>
      </x:c>
      <x:c r="E214" s="12" t="str"/>
      <x:c r="F214" s="12" t="str"/>
      <x:c r="G214" s="10" t="str">
        <x:v>Published business line; directness unconfirmed</x:v>
      </x:c>
      <x:c r="H214" s="10" t="str">
        <x:v>Published firm inbox</x:v>
      </x:c>
      <x:c r="I214" s="10" t="str">
        <x:v>Not published / unconfirmed</x:v>
      </x:c>
      <x:c r="J214" s="11"/>
      <x:c r="K214" s="11"/>
      <x:c r="L214" s="10" t="str">
        <x:v>country: US business context requires source-specific verification; city: ; state: </x:v>
      </x:c>
      <x:c r="M214" s="10" t="str">
        <x:v>Published corporate routing contact</x:v>
      </x:c>
      <x:c r="N214" s="10" t="str">
        <x:v>Conditional research prospect</x:v>
      </x:c>
      <x:c r="O214" s="13" t="str">
        <x:v>new</x:v>
      </x:c>
      <x:c r="P214" s="13" t="str"/>
      <x:c r="Q214" s="10" t="str">
        <x:v>Not contacted / unconfirmed</x:v>
      </x:c>
      <x:c r="R214" s="10" t="str">
        <x:v>unverified</x:v>
      </x:c>
      <x:c r="S214" s="10" t="str">
        <x:v>2026-09-30</x:v>
      </x:c>
      <x:c r="T214" s="10" t="str">
        <x:v>https://www.horizonpoint.com/</x:v>
      </x:c>
      <x:c r="U214" s="10" t="str">
        <x:v>6b195b94f793d5</x:v>
      </x:c>
    </x:row>
    <x:row r="215" ht="55" customHeight="1">
      <x:c r="A215" s="10" t="str">
        <x:v>866f9e99909687</x:v>
      </x:c>
      <x:c r="B215" s="10" t="str">
        <x:v>Moraine Partners</x:v>
      </x:c>
      <x:c r="C215" s="10" t="str"/>
      <x:c r="D215" s="10" t="str">
        <x:v>Corporate equity firm</x:v>
      </x:c>
      <x:c r="E215" s="12" t="str">
        <x:v>1 (407) 412-7094</x:v>
      </x:c>
      <x:c r="F215" s="12" t="str"/>
      <x:c r="G215" s="10" t="str">
        <x:v>Published business line; directness unconfirmed</x:v>
      </x:c>
      <x:c r="H215" s="10" t="str">
        <x:v>Published firm inbox</x:v>
      </x:c>
      <x:c r="I215" s="10" t="str">
        <x:v>Not published / unconfirmed</x:v>
      </x:c>
      <x:c r="J215" s="11"/>
      <x:c r="K215" s="11"/>
      <x:c r="L215" s="10" t="str">
        <x:v>country: US business context requires source-specific verification; city: ; state: </x:v>
      </x:c>
      <x:c r="M215" s="10" t="str">
        <x:v>Published corporate routing contact</x:v>
      </x:c>
      <x:c r="N215" s="10" t="str">
        <x:v>Conditional research prospect</x:v>
      </x:c>
      <x:c r="O215" s="13" t="str">
        <x:v>new</x:v>
      </x:c>
      <x:c r="P215" s="13" t="str"/>
      <x:c r="Q215" s="10" t="str">
        <x:v>Not contacted / unconfirmed</x:v>
      </x:c>
      <x:c r="R215" s="10" t="str">
        <x:v>unverified</x:v>
      </x:c>
      <x:c r="S215" s="10" t="str">
        <x:v>2026-09-30</x:v>
      </x:c>
      <x:c r="T215" s="10" t="str">
        <x:v>https://morainepartners.com/</x:v>
      </x:c>
      <x:c r="U215" s="10" t="str">
        <x:v>183aa824bc2f17</x:v>
      </x:c>
    </x:row>
    <x:row r="216" ht="55" customHeight="1">
      <x:c r="A216" s="10" t="str">
        <x:v>6393119f2ee979</x:v>
      </x:c>
      <x:c r="B216" s="10" t="str">
        <x:v>Preservation Holdings</x:v>
      </x:c>
      <x:c r="C216" s="10" t="str"/>
      <x:c r="D216" s="10" t="str">
        <x:v>Corporate equity firm</x:v>
      </x:c>
      <x:c r="E216" s="12" t="str"/>
      <x:c r="F216" s="12" t="str">
        <x:v>info@preservationholdings.com</x:v>
      </x:c>
      <x:c r="G216" s="10" t="str">
        <x:v>Published business line; directness unconfirmed</x:v>
      </x:c>
      <x:c r="H216" s="10" t="str">
        <x:v>Published firm inbox</x:v>
      </x:c>
      <x:c r="I216" s="10" t="str">
        <x:v>Not published / unconfirmed</x:v>
      </x:c>
      <x:c r="J216" s="11"/>
      <x:c r="K216" s="11"/>
      <x:c r="L216" s="10" t="str">
        <x:v>country: US business context requires source-specific verification; city: ; state: </x:v>
      </x:c>
      <x:c r="M216" s="10" t="str">
        <x:v>Published corporate routing contact</x:v>
      </x:c>
      <x:c r="N216" s="10" t="str">
        <x:v>Conditional research prospect</x:v>
      </x:c>
      <x:c r="O216" s="13" t="str">
        <x:v>new</x:v>
      </x:c>
      <x:c r="P216" s="13" t="str"/>
      <x:c r="Q216" s="10" t="str">
        <x:v>Not contacted / unconfirmed</x:v>
      </x:c>
      <x:c r="R216" s="10" t="str">
        <x:v>unverified</x:v>
      </x:c>
      <x:c r="S216" s="10" t="str">
        <x:v>2026-09-30</x:v>
      </x:c>
      <x:c r="T216" s="10" t="str">
        <x:v>https://www.preservationholdings.com/</x:v>
      </x:c>
      <x:c r="U216" s="10" t="str">
        <x:v>d8266479f21f12</x:v>
      </x:c>
    </x:row>
    <x:row r="217" ht="55" customHeight="1">
      <x:c r="A217" s="10" t="str">
        <x:v>3bf87b6b2abc75</x:v>
      </x:c>
      <x:c r="B217" s="10" t="str">
        <x:v>Saturn Partners</x:v>
      </x:c>
      <x:c r="C217" s="10" t="str"/>
      <x:c r="D217" s="10" t="str">
        <x:v>Corporate equity firm</x:v>
      </x:c>
      <x:c r="E217" s="12" t="str">
        <x:v>1 (617) 574-3330</x:v>
      </x:c>
      <x:c r="F217" s="12" t="str"/>
      <x:c r="G217" s="10" t="str">
        <x:v>Published business line; directness unconfirmed</x:v>
      </x:c>
      <x:c r="H217" s="10" t="str">
        <x:v>Published firm inbox</x:v>
      </x:c>
      <x:c r="I217" s="10" t="str">
        <x:v>Not published / unconfirmed</x:v>
      </x:c>
      <x:c r="J217" s="11"/>
      <x:c r="K217" s="11"/>
      <x:c r="L217" s="10" t="str">
        <x:v>country: United States; city: ST. PETERSBURG; state: FL</x:v>
      </x:c>
      <x:c r="M217" s="10" t="str">
        <x:v>Published corporate routing contact</x:v>
      </x:c>
      <x:c r="N217" s="10" t="str">
        <x:v>Conditional research prospect</x:v>
      </x:c>
      <x:c r="O217" s="13" t="str">
        <x:v>new</x:v>
      </x:c>
      <x:c r="P217" s="13" t="str"/>
      <x:c r="Q217" s="10" t="str">
        <x:v>Not contacted / unconfirmed</x:v>
      </x:c>
      <x:c r="R217" s="10" t="str">
        <x:v>unverified</x:v>
      </x:c>
      <x:c r="S217" s="10" t="str">
        <x:v>2026-09-30</x:v>
      </x:c>
      <x:c r="T217" s="10" t="str">
        <x:v>https://saturnpartnersvc.com/</x:v>
      </x:c>
      <x:c r="U217" s="10" t="str">
        <x:v>4f3d785ac5c656</x:v>
      </x:c>
    </x:row>
    <x:row r="218" ht="55" customHeight="1">
      <x:c r="A218" s="10" t="str">
        <x:v>d27fff7f39296b</x:v>
      </x:c>
      <x:c r="B218" s="10" t="str">
        <x:v>Shorewood Capital</x:v>
      </x:c>
      <x:c r="C218" s="10" t="str"/>
      <x:c r="D218" s="10" t="str">
        <x:v>Corporate equity firm</x:v>
      </x:c>
      <x:c r="E218" s="12" t="str"/>
      <x:c r="F218" s="12" t="str"/>
      <x:c r="G218" s="10" t="str">
        <x:v>Published business line; directness unconfirmed</x:v>
      </x:c>
      <x:c r="H218" s="10" t="str">
        <x:v>Published firm inbox</x:v>
      </x:c>
      <x:c r="I218" s="10" t="str">
        <x:v>Not published / unconfirmed</x:v>
      </x:c>
      <x:c r="J218" s="11"/>
      <x:c r="K218" s="11"/>
      <x:c r="L218" s="10" t="str">
        <x:v>country: US business context requires source-specific verification; city: ; state: </x:v>
      </x:c>
      <x:c r="M218" s="10" t="str">
        <x:v>Published corporate routing contact</x:v>
      </x:c>
      <x:c r="N218" s="10" t="str">
        <x:v>Conditional research prospect</x:v>
      </x:c>
      <x:c r="O218" s="13" t="str">
        <x:v>new</x:v>
      </x:c>
      <x:c r="P218" s="13" t="str"/>
      <x:c r="Q218" s="10" t="str">
        <x:v>Not contacted / unconfirmed</x:v>
      </x:c>
      <x:c r="R218" s="10" t="str">
        <x:v>unverified</x:v>
      </x:c>
      <x:c r="S218" s="10" t="str">
        <x:v>2026-09-30</x:v>
      </x:c>
      <x:c r="T218" s="10" t="str">
        <x:v>https://shorewoodcapital.com/</x:v>
      </x:c>
      <x:c r="U218" s="10" t="str">
        <x:v>ae75b950e75aa0</x:v>
      </x:c>
    </x:row>
    <x:row r="219" ht="55" customHeight="1">
      <x:c r="A219" s="10" t="str">
        <x:v>08546dfd0903e5</x:v>
      </x:c>
      <x:c r="B219" s="10" t="str">
        <x:v>Battery Point Capital</x:v>
      </x:c>
      <x:c r="C219" s="10" t="str"/>
      <x:c r="D219" s="10" t="str">
        <x:v>Family investment firm</x:v>
      </x:c>
      <x:c r="E219" s="12" t="str"/>
      <x:c r="F219" s="12" t="str">
        <x:v>team@batterypointcapital.co</x:v>
      </x:c>
      <x:c r="G219" s="10" t="str">
        <x:v>professional_business_contact_as_published</x:v>
      </x:c>
      <x:c r="H219" s="10" t="str">
        <x:v>Published firm inbox</x:v>
      </x:c>
      <x:c r="I219" s="10" t="str">
        <x:v>not_published_unverified</x:v>
      </x:c>
      <x:c r="J219" s="11"/>
      <x:c r="K219" s="11"/>
      <x:c r="L219" s="10" t="str">
        <x:v>Established lower-middle-market US companies; Baltimore-area operating team.</x:v>
      </x:c>
      <x:c r="M219" s="10" t="str"/>
      <x:c r="N219" s="10" t="str">
        <x:v>Conditional research prospect</x:v>
      </x:c>
      <x:c r="O219" s="13" t="str">
        <x:v>new</x:v>
      </x:c>
      <x:c r="P219" s="13" t="str"/>
      <x:c r="Q219" s="10" t="str">
        <x:v>Not contacted / unconfirmed</x:v>
      </x:c>
      <x:c r="R219" s="10" t="str">
        <x:v>unverified</x:v>
      </x:c>
      <x:c r="S219" s="10" t="str">
        <x:v>2026-09-30</x:v>
      </x:c>
      <x:c r="T219" s="10" t="str">
        <x:v>https://bpc.scalepartners.io/</x:v>
      </x:c>
      <x:c r="U219" s="10" t="str">
        <x:v>bff992efbda0db</x:v>
      </x:c>
    </x:row>
    <x:row r="220" ht="55" customHeight="1">
      <x:c r="A220" s="10" t="str">
        <x:v>72aeeb0e11812c</x:v>
      </x:c>
      <x:c r="B220" s="10" t="str">
        <x:v>Brener International Group</x:v>
      </x:c>
      <x:c r="C220" s="10" t="str"/>
      <x:c r="D220" s="10" t="str">
        <x:v>Family investment firm</x:v>
      </x:c>
      <x:c r="E220" s="12" t="str"/>
      <x:c r="F220" s="12" t="str">
        <x:v>investments@brenergroup.com</x:v>
      </x:c>
      <x:c r="G220" s="10" t="str">
        <x:v>professional_business_contact_as_published</x:v>
      </x:c>
      <x:c r="H220" s="10" t="str">
        <x:v>Published firm inbox</x:v>
      </x:c>
      <x:c r="I220" s="10" t="str">
        <x:v>not_published_unverified</x:v>
      </x:c>
      <x:c r="J220" s="11"/>
      <x:c r="K220" s="11"/>
      <x:c r="L220" s="10" t="str">
        <x:v>US investment focus; particular interest in businesses serving US Hispanic population.</x:v>
      </x:c>
      <x:c r="M220" s="10" t="str"/>
      <x:c r="N220" s="10" t="str">
        <x:v>Conditional research prospect</x:v>
      </x:c>
      <x:c r="O220" s="13" t="str">
        <x:v>new</x:v>
      </x:c>
      <x:c r="P220" s="13" t="str"/>
      <x:c r="Q220" s="10" t="str">
        <x:v>Not contacted / unconfirmed</x:v>
      </x:c>
      <x:c r="R220" s="10" t="str">
        <x:v>unverified</x:v>
      </x:c>
      <x:c r="S220" s="10" t="str">
        <x:v>2026-09-30</x:v>
      </x:c>
      <x:c r="T220" s="10" t="str">
        <x:v>https://www.brenergroup.com/</x:v>
      </x:c>
      <x:c r="U220" s="10" t="str">
        <x:v>a5e079ae6f8fa8</x:v>
      </x:c>
    </x:row>
    <x:row r="221" ht="55" customHeight="1">
      <x:c r="A221" s="10" t="str">
        <x:v>e33a59dbbe7c01</x:v>
      </x:c>
      <x:c r="B221" s="10" t="str">
        <x:v>Brownhelm Capital</x:v>
      </x:c>
      <x:c r="C221" s="10" t="str">
        <x:v>Max Weber</x:v>
      </x:c>
      <x:c r="D221" s="10" t="str">
        <x:v>Family investment firm</x:v>
      </x:c>
      <x:c r="E221" s="12" t="str"/>
      <x:c r="F221" s="12" t="str"/>
      <x:c r="G221" s="10" t="str">
        <x:v>professional_business_contact_as_published</x:v>
      </x:c>
      <x:c r="H221" s="10" t="str">
        <x:v>Published named business email</x:v>
      </x:c>
      <x:c r="I221" s="10" t="str">
        <x:v>not_published_unverified</x:v>
      </x:c>
      <x:c r="J221" s="11"/>
      <x:c r="K221" s="11"/>
      <x:c r="L221" s="10" t="str">
        <x:v>Cleveland, Ohio headquarters.</x:v>
      </x:c>
      <x:c r="M221" s="10" t="str">
        <x:v>Director of Investment Strategy</x:v>
      </x:c>
      <x:c r="N221" s="10" t="str">
        <x:v>Conditional research prospect</x:v>
      </x:c>
      <x:c r="O221" s="13" t="str">
        <x:v>new</x:v>
      </x:c>
      <x:c r="P221" s="13" t="str"/>
      <x:c r="Q221" s="10" t="str">
        <x:v>Not contacted / unconfirmed</x:v>
      </x:c>
      <x:c r="R221" s="10" t="str">
        <x:v>unverified</x:v>
      </x:c>
      <x:c r="S221" s="10" t="str">
        <x:v>2026-09-30</x:v>
      </x:c>
      <x:c r="T221" s="10" t="str">
        <x:v>https://www.brownhelmcapital.com/</x:v>
      </x:c>
      <x:c r="U221" s="10" t="str">
        <x:v>560e8157204388</x:v>
      </x:c>
    </x:row>
    <x:row r="222" ht="70" customHeight="1">
      <x:c r="A222" s="10" t="str">
        <x:v>cabc8f0c42b303</x:v>
      </x:c>
      <x:c r="B222" s="10" t="str">
        <x:v>Cameo Point Capital</x:v>
      </x:c>
      <x:c r="C222" s="10" t="str">
        <x:v>Peter Spenuzza</x:v>
      </x:c>
      <x:c r="D222" s="10" t="str">
        <x:v>Family investment firm</x:v>
      </x:c>
      <x:c r="E222" s="12" t="str"/>
      <x:c r="F222" s="12" t="str">
        <x:v>peter@cameopointcapital.com</x:v>
      </x:c>
      <x:c r="G222" s="10" t="str">
        <x:v>professional_business_contact_as_published</x:v>
      </x:c>
      <x:c r="H222" s="10" t="str">
        <x:v>Published named business email</x:v>
      </x:c>
      <x:c r="I222" s="10" t="str">
        <x:v>not_published_unverified</x:v>
      </x:c>
      <x:c r="J222" s="11"/>
      <x:c r="K222" s="11"/>
      <x:c r="L222" s="10" t="str">
        <x:v>Founder biography identifies Newport Beach, California; explicit American small-business orientation.</x:v>
      </x:c>
      <x:c r="M222" s="10" t="str">
        <x:v>Founder and Managing Partner</x:v>
      </x:c>
      <x:c r="N222" s="10" t="str">
        <x:v>Conditional research prospect</x:v>
      </x:c>
      <x:c r="O222" s="13" t="str">
        <x:v>new</x:v>
      </x:c>
      <x:c r="P222" s="13" t="str"/>
      <x:c r="Q222" s="10" t="str">
        <x:v>Not contacted / unconfirmed</x:v>
      </x:c>
      <x:c r="R222" s="10" t="str">
        <x:v>unverified</x:v>
      </x:c>
      <x:c r="S222" s="10" t="str">
        <x:v>2026-09-30</x:v>
      </x:c>
      <x:c r="T222" s="10" t="str">
        <x:v>https://cameopointcapital.com/</x:v>
      </x:c>
      <x:c r="U222" s="10" t="str">
        <x:v>857d95ca2fffb6</x:v>
      </x:c>
    </x:row>
    <x:row r="223" ht="55" customHeight="1">
      <x:c r="A223" s="10" t="str">
        <x:v>c82e1c3cba249f</x:v>
      </x:c>
      <x:c r="B223" s="10" t="str">
        <x:v>Coughlin Capital</x:v>
      </x:c>
      <x:c r="C223" s="10" t="str"/>
      <x:c r="D223" s="10" t="str">
        <x:v>Family investment firm</x:v>
      </x:c>
      <x:c r="E223" s="12" t="str"/>
      <x:c r="F223" s="12" t="str">
        <x:v>info@coughlincapital.com</x:v>
      </x:c>
      <x:c r="G223" s="10" t="str">
        <x:v>professional_business_contact_as_published</x:v>
      </x:c>
      <x:c r="H223" s="10" t="str">
        <x:v>Published firm inbox</x:v>
      </x:c>
      <x:c r="I223" s="10" t="str">
        <x:v>not_published_unverified</x:v>
      </x:c>
      <x:c r="J223" s="11"/>
      <x:c r="K223" s="11"/>
      <x:c r="L223" s="10" t="str">
        <x:v>Coughlin Capital, LLC,2 City Place, Suite200, St. Louis, MO63141.</x:v>
      </x:c>
      <x:c r="M223" s="10" t="str"/>
      <x:c r="N223" s="10" t="str">
        <x:v>Conditional research prospect</x:v>
      </x:c>
      <x:c r="O223" s="13" t="str">
        <x:v>new</x:v>
      </x:c>
      <x:c r="P223" s="13" t="str"/>
      <x:c r="Q223" s="10" t="str">
        <x:v>Not contacted / unconfirmed</x:v>
      </x:c>
      <x:c r="R223" s="10" t="str">
        <x:v>unverified</x:v>
      </x:c>
      <x:c r="S223" s="10" t="str">
        <x:v>2026-09-30</x:v>
      </x:c>
      <x:c r="T223" s="10" t="str">
        <x:v>https://coughlincapital.com/</x:v>
      </x:c>
      <x:c r="U223" s="10" t="str">
        <x:v>652a2059e2f3a7</x:v>
      </x:c>
    </x:row>
    <x:row r="224" ht="70" customHeight="1">
      <x:c r="A224" s="10" t="str">
        <x:v>388d82252723a6</x:v>
      </x:c>
      <x:c r="B224" s="10" t="str">
        <x:v>CR3 Capital</x:v>
      </x:c>
      <x:c r="C224" s="10" t="str"/>
      <x:c r="D224" s="10" t="str">
        <x:v>Family investment firm</x:v>
      </x:c>
      <x:c r="E224" s="12" t="str">
        <x:v>1 (972) 362-8500</x:v>
      </x:c>
      <x:c r="F224" s="12" t="str"/>
      <x:c r="G224" s="10" t="str">
        <x:v>professional_business_contact_as_published</x:v>
      </x:c>
      <x:c r="H224" s="10" t="str">
        <x:v>Published firm inbox</x:v>
      </x:c>
      <x:c r="I224" s="10" t="str">
        <x:v>not_published_unverified</x:v>
      </x:c>
      <x:c r="J224" s="11"/>
      <x:c r="K224" s="11"/>
      <x:c r="L224" s="10" t="str">
        <x:v>13355 Noel Road, Suite2005, Dallas, Texas75240; criteria require headquarters in United States.</x:v>
      </x:c>
      <x:c r="M224" s="10" t="str"/>
      <x:c r="N224" s="10" t="str">
        <x:v>Conditional research prospect</x:v>
      </x:c>
      <x:c r="O224" s="13" t="str">
        <x:v>new</x:v>
      </x:c>
      <x:c r="P224" s="13" t="str"/>
      <x:c r="Q224" s="10" t="str">
        <x:v>Not contacted / unconfirmed</x:v>
      </x:c>
      <x:c r="R224" s="10" t="str">
        <x:v>unverified</x:v>
      </x:c>
      <x:c r="S224" s="10" t="str">
        <x:v>2026-09-30</x:v>
      </x:c>
      <x:c r="T224" s="10" t="str">
        <x:v>https://www.cr3capital.com/</x:v>
      </x:c>
      <x:c r="U224" s="10" t="str">
        <x:v>3c3f3af71fdcd3</x:v>
      </x:c>
    </x:row>
    <x:row r="225" ht="55" customHeight="1">
      <x:c r="A225" s="10" t="str">
        <x:v>a13cebed828546</x:v>
      </x:c>
      <x:c r="B225" s="10" t="str">
        <x:v>DawnAscent Capital</x:v>
      </x:c>
      <x:c r="C225" s="10" t="str">
        <x:v>Gregory K. Jones</x:v>
      </x:c>
      <x:c r="D225" s="10" t="str">
        <x:v>Family investment firm</x:v>
      </x:c>
      <x:c r="E225" s="12" t="str"/>
      <x:c r="F225" s="12" t="str">
        <x:v>gregj@dawnascent.com</x:v>
      </x:c>
      <x:c r="G225" s="10" t="str">
        <x:v>professional_business_contact_as_published</x:v>
      </x:c>
      <x:c r="H225" s="10" t="str">
        <x:v>Published named business email</x:v>
      </x:c>
      <x:c r="I225" s="10" t="str">
        <x:v>not_published_unverified</x:v>
      </x:c>
      <x:c r="J225" s="11"/>
      <x:c r="K225" s="11"/>
      <x:c r="L225" s="10" t="str">
        <x:v>Chicago and Miami.</x:v>
      </x:c>
      <x:c r="M225" s="10" t="str">
        <x:v>Founder, Chairman &amp; CEO</x:v>
      </x:c>
      <x:c r="N225" s="10" t="str">
        <x:v>Conditional research prospect</x:v>
      </x:c>
      <x:c r="O225" s="13" t="str">
        <x:v>new</x:v>
      </x:c>
      <x:c r="P225" s="13" t="str"/>
      <x:c r="Q225" s="10" t="str">
        <x:v>Not contacted / unconfirmed</x:v>
      </x:c>
      <x:c r="R225" s="10" t="str">
        <x:v>unverified</x:v>
      </x:c>
      <x:c r="S225" s="10" t="str">
        <x:v>2026-09-30</x:v>
      </x:c>
      <x:c r="T225" s="10" t="str">
        <x:v>https://www.dawnascent.com/</x:v>
      </x:c>
      <x:c r="U225" s="10" t="str">
        <x:v>1d33fb1b6c5a45</x:v>
      </x:c>
    </x:row>
    <x:row r="226" ht="55" customHeight="1">
      <x:c r="A226" s="10" t="str">
        <x:v>861e9cfa49e671</x:v>
      </x:c>
      <x:c r="B226" s="10" t="str">
        <x:v>East Peak Capital</x:v>
      </x:c>
      <x:c r="C226" s="10" t="str">
        <x:v>Thomas J. Cusick</x:v>
      </x:c>
      <x:c r="D226" s="10" t="str">
        <x:v>Family investment firm</x:v>
      </x:c>
      <x:c r="E226" s="12" t="str"/>
      <x:c r="F226" s="12" t="str">
        <x:v>info@eastpeakcapital.com</x:v>
      </x:c>
      <x:c r="G226" s="10" t="str">
        <x:v>professional_business_contact_as_published</x:v>
      </x:c>
      <x:c r="H226" s="10" t="str">
        <x:v>Published firm inbox</x:v>
      </x:c>
      <x:c r="I226" s="10" t="str">
        <x:v>not_published_unverified</x:v>
      </x:c>
      <x:c r="J226" s="11"/>
      <x:c r="K226" s="11"/>
      <x:c r="L226" s="10" t="str">
        <x:v>1100 Bellevue Way NE, Suite8A, Bellevue, WA98004.</x:v>
      </x:c>
      <x:c r="M226" s="10" t="str">
        <x:v>Founder and Managing Director</x:v>
      </x:c>
      <x:c r="N226" s="10" t="str">
        <x:v>Conditional research prospect</x:v>
      </x:c>
      <x:c r="O226" s="13" t="str">
        <x:v>new</x:v>
      </x:c>
      <x:c r="P226" s="13" t="str"/>
      <x:c r="Q226" s="10" t="str">
        <x:v>Not contacted / unconfirmed</x:v>
      </x:c>
      <x:c r="R226" s="10" t="str">
        <x:v>unverified</x:v>
      </x:c>
      <x:c r="S226" s="10" t="str">
        <x:v>2026-09-30</x:v>
      </x:c>
      <x:c r="T226" s="10" t="str">
        <x:v>https://www.eastpeakcapital.com/</x:v>
      </x:c>
      <x:c r="U226" s="10" t="str">
        <x:v>05248b825f252b</x:v>
      </x:c>
    </x:row>
    <x:row r="227" ht="55" customHeight="1">
      <x:c r="A227" s="10" t="str">
        <x:v>96f4991677fbe6</x:v>
      </x:c>
      <x:c r="B227" s="10" t="str">
        <x:v>Eleven Capital Management / Grassy Creek</x:v>
      </x:c>
      <x:c r="C227" s="10" t="str"/>
      <x:c r="D227" s="10" t="str">
        <x:v>Family investment firm</x:v>
      </x:c>
      <x:c r="E227" s="12" t="str"/>
      <x:c r="F227" s="12" t="str"/>
      <x:c r="G227" s="10" t="str">
        <x:v>professional_business_contact_as_published</x:v>
      </x:c>
      <x:c r="H227" s="10" t="str">
        <x:v>Published firm inbox</x:v>
      </x:c>
      <x:c r="I227" s="10" t="str">
        <x:v>not_published_unverified</x:v>
      </x:c>
      <x:c r="J227" s="11"/>
      <x:c r="K227" s="11"/>
      <x:c r="L227" s="10" t="str">
        <x:v>New York City with Bay Area, Crested Butte and Jacksonville affiliated offices.</x:v>
      </x:c>
      <x:c r="M227" s="10" t="str"/>
      <x:c r="N227" s="10" t="str">
        <x:v>Conditional research prospect</x:v>
      </x:c>
      <x:c r="O227" s="13" t="str">
        <x:v>new</x:v>
      </x:c>
      <x:c r="P227" s="13" t="str"/>
      <x:c r="Q227" s="10" t="str">
        <x:v>Not contacted / unconfirmed</x:v>
      </x:c>
      <x:c r="R227" s="10" t="str">
        <x:v>unverified</x:v>
      </x:c>
      <x:c r="S227" s="10" t="str">
        <x:v>2026-09-30</x:v>
      </x:c>
      <x:c r="T227" s="10" t="str">
        <x:v>https://elevencapitalmanagement.com/</x:v>
      </x:c>
      <x:c r="U227" s="10" t="str">
        <x:v>5b4bae8e89c3c1</x:v>
      </x:c>
    </x:row>
    <x:row r="228" ht="70" customHeight="1">
      <x:c r="A228" s="10" t="str">
        <x:v>2b540ac926fb81</x:v>
      </x:c>
      <x:c r="B228" s="10" t="str">
        <x:v>Farrington Capital Corporation</x:v>
      </x:c>
      <x:c r="C228" s="10" t="str"/>
      <x:c r="D228" s="10" t="str">
        <x:v>Family investment firm</x:v>
      </x:c>
      <x:c r="E228" s="12" t="str">
        <x:v>1 (800) 679-7303</x:v>
      </x:c>
      <x:c r="F228" s="12" t="str"/>
      <x:c r="G228" s="10" t="str">
        <x:v>professional_business_contact_as_published</x:v>
      </x:c>
      <x:c r="H228" s="10" t="str">
        <x:v>Published firm inbox</x:v>
      </x:c>
      <x:c r="I228" s="10" t="str">
        <x:v>not_published_unverified</x:v>
      </x:c>
      <x:c r="J228" s="11"/>
      <x:c r="K228" s="11"/>
      <x:c r="L228" s="10" t="str">
        <x:v>Dallas, Texas private equity firm; primarily Southwest, Southeast and lower Midwest US companies.</x:v>
      </x:c>
      <x:c r="M228" s="10" t="str"/>
      <x:c r="N228" s="10" t="str">
        <x:v>Conditional research prospect</x:v>
      </x:c>
      <x:c r="O228" s="13" t="str">
        <x:v>new</x:v>
      </x:c>
      <x:c r="P228" s="13" t="str"/>
      <x:c r="Q228" s="10" t="str">
        <x:v>Not contacted / unconfirmed</x:v>
      </x:c>
      <x:c r="R228" s="10" t="str">
        <x:v>unverified</x:v>
      </x:c>
      <x:c r="S228" s="10" t="str">
        <x:v>2026-09-30</x:v>
      </x:c>
      <x:c r="T228" s="10" t="str">
        <x:v>https://farringtoncapitalcorp.com/</x:v>
      </x:c>
      <x:c r="U228" s="10" t="str">
        <x:v>54941e1c609ef6</x:v>
      </x:c>
    </x:row>
    <x:row r="229" ht="55" customHeight="1">
      <x:c r="A229" s="10" t="str">
        <x:v>75f900cbf73137</x:v>
      </x:c>
      <x:c r="B229" s="10" t="str">
        <x:v>Lars Invest</x:v>
      </x:c>
      <x:c r="C229" s="10" t="str"/>
      <x:c r="D229" s="10" t="str">
        <x:v>Family investment firm</x:v>
      </x:c>
      <x:c r="E229" s="12" t="str"/>
      <x:c r="F229" s="12" t="str">
        <x:v>info@larsinvest.com</x:v>
      </x:c>
      <x:c r="G229" s="10" t="str">
        <x:v>professional_business_contact_as_published</x:v>
      </x:c>
      <x:c r="H229" s="10" t="str">
        <x:v>Published firm inbox</x:v>
      </x:c>
      <x:c r="I229" s="10" t="str">
        <x:v>not_published_unverified</x:v>
      </x:c>
      <x:c r="J229" s="11"/>
      <x:c r="K229" s="11"/>
      <x:c r="L229" s="10" t="str">
        <x:v>Miami/Coral Gables, Florida office.</x:v>
      </x:c>
      <x:c r="M229" s="10" t="str"/>
      <x:c r="N229" s="10" t="str">
        <x:v>Conditional research prospect</x:v>
      </x:c>
      <x:c r="O229" s="13" t="str">
        <x:v>new</x:v>
      </x:c>
      <x:c r="P229" s="13" t="str"/>
      <x:c r="Q229" s="10" t="str">
        <x:v>Not contacted / unconfirmed</x:v>
      </x:c>
      <x:c r="R229" s="10" t="str">
        <x:v>unverified</x:v>
      </x:c>
      <x:c r="S229" s="10" t="str">
        <x:v>2026-09-30</x:v>
      </x:c>
      <x:c r="T229" s="10" t="str">
        <x:v>https://www.larsinvest.com/</x:v>
      </x:c>
      <x:c r="U229" s="10" t="str">
        <x:v>9f4d83446f483c</x:v>
      </x:c>
    </x:row>
    <x:row r="230" ht="55" customHeight="1">
      <x:c r="A230" s="10" t="str">
        <x:v>983855011e7729</x:v>
      </x:c>
      <x:c r="B230" s="10" t="str">
        <x:v>LaunchCapital</x:v>
      </x:c>
      <x:c r="C230" s="10" t="str"/>
      <x:c r="D230" s="10" t="str">
        <x:v>Family investment firm</x:v>
      </x:c>
      <x:c r="E230" s="12" t="str"/>
      <x:c r="F230" s="12" t="str"/>
      <x:c r="G230" s="10" t="str">
        <x:v>professional_business_contact_as_published</x:v>
      </x:c>
      <x:c r="H230" s="10" t="str">
        <x:v>Published firm inbox</x:v>
      </x:c>
      <x:c r="I230" s="10" t="str">
        <x:v>not_published_unverified</x:v>
      </x:c>
      <x:c r="J230" s="11"/>
      <x:c r="K230" s="11"/>
      <x:c r="L230" s="10" t="str">
        <x:v>Boston, New Haven and New York offices; companies across the US.</x:v>
      </x:c>
      <x:c r="M230" s="10" t="str"/>
      <x:c r="N230" s="10" t="str">
        <x:v>Conditional research prospect</x:v>
      </x:c>
      <x:c r="O230" s="13" t="str">
        <x:v>new</x:v>
      </x:c>
      <x:c r="P230" s="13" t="str"/>
      <x:c r="Q230" s="10" t="str">
        <x:v>Not contacted / unconfirmed</x:v>
      </x:c>
      <x:c r="R230" s="10" t="str">
        <x:v>unverified</x:v>
      </x:c>
      <x:c r="S230" s="10" t="str">
        <x:v>2026-09-30</x:v>
      </x:c>
      <x:c r="T230" s="10" t="str">
        <x:v>https://launchcapital.com/</x:v>
      </x:c>
      <x:c r="U230" s="10" t="str">
        <x:v>a4535d34a8def9</x:v>
      </x:c>
    </x:row>
    <x:row r="231" ht="55" customHeight="1">
      <x:c r="A231" s="10" t="str">
        <x:v>4516a1f2e0ddb2</x:v>
      </x:c>
      <x:c r="B231" s="10" t="str">
        <x:v>Red Forest Capital</x:v>
      </x:c>
      <x:c r="C231" s="10" t="str"/>
      <x:c r="D231" s="10" t="str">
        <x:v>Family investment firm</x:v>
      </x:c>
      <x:c r="E231" s="12" t="str"/>
      <x:c r="F231" s="12" t="str">
        <x:v>hello@redforestcapital.com</x:v>
      </x:c>
      <x:c r="G231" s="10" t="str">
        <x:v>professional_business_contact_as_published</x:v>
      </x:c>
      <x:c r="H231" s="10" t="str">
        <x:v>Published firm inbox</x:v>
      </x:c>
      <x:c r="I231" s="10" t="str">
        <x:v>not_published_unverified</x:v>
      </x:c>
      <x:c r="J231" s="11"/>
      <x:c r="K231" s="11"/>
      <x:c r="L231" s="10" t="str">
        <x:v>Concord, Massachusetts business office on investor-owned article pages.</x:v>
      </x:c>
      <x:c r="M231" s="10" t="str"/>
      <x:c r="N231" s="10" t="str">
        <x:v>Conditional research prospect</x:v>
      </x:c>
      <x:c r="O231" s="13" t="str">
        <x:v>new</x:v>
      </x:c>
      <x:c r="P231" s="13" t="str"/>
      <x:c r="Q231" s="10" t="str">
        <x:v>Not contacted / unconfirmed</x:v>
      </x:c>
      <x:c r="R231" s="10" t="str">
        <x:v>unverified</x:v>
      </x:c>
      <x:c r="S231" s="10" t="str">
        <x:v>2026-09-30</x:v>
      </x:c>
      <x:c r="T231" s="10" t="str">
        <x:v>https://www.redforestcapital.com/</x:v>
      </x:c>
      <x:c r="U231" s="10" t="str">
        <x:v>093063bf438094</x:v>
      </x:c>
    </x:row>
    <x:row r="232" ht="55" customHeight="1">
      <x:c r="A232" s="10" t="str">
        <x:v>1802f561eeb09d</x:v>
      </x:c>
      <x:c r="B232" s="10" t="str">
        <x:v>SOJA Ventures</x:v>
      </x:c>
      <x:c r="C232" s="10" t="str"/>
      <x:c r="D232" s="10" t="str">
        <x:v>Family investment firm</x:v>
      </x:c>
      <x:c r="E232" s="12" t="str"/>
      <x:c r="F232" s="12" t="str">
        <x:v>info@sojaventures.com</x:v>
      </x:c>
      <x:c r="G232" s="10" t="str">
        <x:v>professional_business_contact_as_published</x:v>
      </x:c>
      <x:c r="H232" s="10" t="str">
        <x:v>Published firm inbox</x:v>
      </x:c>
      <x:c r="I232" s="10" t="str">
        <x:v>not_published_unverified</x:v>
      </x:c>
      <x:c r="J232" s="11"/>
      <x:c r="K232" s="11"/>
      <x:c r="L232" s="10" t="str">
        <x:v>Extension of the US Swig family office; geography of eligible companies unverified.</x:v>
      </x:c>
      <x:c r="M232" s="10" t="str"/>
      <x:c r="N232" s="10" t="str">
        <x:v>Conditional research prospect</x:v>
      </x:c>
      <x:c r="O232" s="13" t="str">
        <x:v>new</x:v>
      </x:c>
      <x:c r="P232" s="13" t="str"/>
      <x:c r="Q232" s="10" t="str">
        <x:v>Not contacted / unconfirmed</x:v>
      </x:c>
      <x:c r="R232" s="10" t="str">
        <x:v>unverified</x:v>
      </x:c>
      <x:c r="S232" s="10" t="str">
        <x:v>2026-09-30</x:v>
      </x:c>
      <x:c r="T232" s="10" t="str">
        <x:v>https://sojaventures.com/</x:v>
      </x:c>
      <x:c r="U232" s="10" t="str">
        <x:v>4f765169bfd966</x:v>
      </x:c>
    </x:row>
    <x:row r="233" ht="70" customHeight="1">
      <x:c r="A233" s="10" t="str">
        <x:v>a6dbeedaa556bd</x:v>
      </x:c>
      <x:c r="B233" s="10" t="str">
        <x:v>The Finger Group</x:v>
      </x:c>
      <x:c r="C233" s="10" t="str"/>
      <x:c r="D233" s="10" t="str">
        <x:v>Family investment firm</x:v>
      </x:c>
      <x:c r="E233" s="12" t="str"/>
      <x:c r="F233" s="12" t="str"/>
      <x:c r="G233" s="10" t="str">
        <x:v>professional_business_contact_as_published</x:v>
      </x:c>
      <x:c r="H233" s="10" t="str">
        <x:v>Published firm inbox</x:v>
      </x:c>
      <x:c r="I233" s="10" t="str">
        <x:v>not_published_unverified</x:v>
      </x:c>
      <x:c r="J233" s="11"/>
      <x:c r="K233" s="11"/>
      <x:c r="L233" s="10" t="str">
        <x:v>US founder/company investment activity; US headquarters geography needs direct confirmation on official website.</x:v>
      </x:c>
      <x:c r="M233" s="10" t="str"/>
      <x:c r="N233" s="10" t="str">
        <x:v>Conditional research prospect</x:v>
      </x:c>
      <x:c r="O233" s="13" t="str">
        <x:v>new</x:v>
      </x:c>
      <x:c r="P233" s="13" t="str"/>
      <x:c r="Q233" s="10" t="str">
        <x:v>Not contacted / unconfirmed</x:v>
      </x:c>
      <x:c r="R233" s="10" t="str">
        <x:v>unverified</x:v>
      </x:c>
      <x:c r="S233" s="10" t="str">
        <x:v>2026-09-30</x:v>
      </x:c>
      <x:c r="T233" s="10" t="str">
        <x:v>https://fingergroup.com/</x:v>
      </x:c>
      <x:c r="U233" s="10" t="str">
        <x:v>8a3b73fb9f38b6</x:v>
      </x:c>
    </x:row>
    <x:row r="234" ht="55" customHeight="1">
      <x:c r="A234" s="10" t="str">
        <x:v>037da43136a5fa</x:v>
      </x:c>
      <x:c r="B234" s="10" t="str">
        <x:v>Upside Growth Partners</x:v>
      </x:c>
      <x:c r="C234" s="10" t="str">
        <x:v>Rick Apple</x:v>
      </x:c>
      <x:c r="D234" s="10" t="str">
        <x:v>Family investment firm</x:v>
      </x:c>
      <x:c r="E234" s="12" t="str"/>
      <x:c r="F234" s="12" t="str">
        <x:v>hello@upsidegp.com</x:v>
      </x:c>
      <x:c r="G234" s="10" t="str">
        <x:v>professional_business_contact_as_published</x:v>
      </x:c>
      <x:c r="H234" s="10" t="str">
        <x:v>Published firm inbox</x:v>
      </x:c>
      <x:c r="I234" s="10" t="str">
        <x:v>not_published_unverified</x:v>
      </x:c>
      <x:c r="J234" s="11"/>
      <x:c r="K234" s="11"/>
      <x:c r="L234" s="10" t="str">
        <x:v>Published geography anywhere in United States.</x:v>
      </x:c>
      <x:c r="M234" s="10" t="str">
        <x:v>Managing Partner</x:v>
      </x:c>
      <x:c r="N234" s="10" t="str">
        <x:v>Conditional research prospect</x:v>
      </x:c>
      <x:c r="O234" s="13" t="str">
        <x:v>new</x:v>
      </x:c>
      <x:c r="P234" s="13" t="str"/>
      <x:c r="Q234" s="10" t="str">
        <x:v>Not contacted / unconfirmed</x:v>
      </x:c>
      <x:c r="R234" s="10" t="str">
        <x:v>unverified</x:v>
      </x:c>
      <x:c r="S234" s="10" t="str">
        <x:v>2026-09-30</x:v>
      </x:c>
      <x:c r="T234" s="10" t="str">
        <x:v>https://www.upsidegp.com/</x:v>
      </x:c>
      <x:c r="U234" s="10" t="str">
        <x:v>778a27108aa5d1</x:v>
      </x:c>
    </x:row>
    <x:row r="235" ht="70" customHeight="1">
      <x:c r="A235" s="10" t="str">
        <x:v>0a9594120cf549</x:v>
      </x:c>
      <x:c r="B235" s="10" t="str">
        <x:v>Think Colorado Angel / CBAN Silicon Valley / Story Samurai</x:v>
      </x:c>
      <x:c r="C235" s="10" t="str">
        <x:v>Ari Block</x:v>
      </x:c>
      <x:c r="D235" s="10" t="str">
        <x:v>Named investor / firm principal</x:v>
      </x:c>
      <x:c r="E235" s="12" t="str">
        <x:v>1 (408) 348-8640</x:v>
      </x:c>
      <x:c r="F235" s="12" t="str"/>
      <x:c r="G235" s="10" t="str">
        <x:v>published_named_business_contact</x:v>
      </x:c>
      <x:c r="H235" s="10" t="str">
        <x:v>Published firm business routing address</x:v>
      </x:c>
      <x:c r="I235" s="10" t="str">
        <x:v>group_range_not_individual_and_program_commitment_not_ticket_policy</x:v>
      </x:c>
      <x:c r="J235" s="11"/>
      <x:c r="K235" s="11"/>
      <x:c r="L235" s="10" t="str">
        <x:v>Highlands Ranch, CO</x:v>
      </x:c>
      <x:c r="M235" s="10" t="str">
        <x:v>Angel investor and serial entrepreneur</x:v>
      </x:c>
      <x:c r="N235" s="10" t="str">
        <x:v>Conditional research prospect</x:v>
      </x:c>
      <x:c r="O235" s="13" t="str">
        <x:v>new</x:v>
      </x:c>
      <x:c r="P235" s="13" t="str"/>
      <x:c r="Q235" s="10" t="str">
        <x:v>Not contacted / unconfirmed</x:v>
      </x:c>
      <x:c r="R235" s="10" t="str">
        <x:v>unverified</x:v>
      </x:c>
      <x:c r="S235" s="10" t="str">
        <x:v>2026-09-30</x:v>
      </x:c>
      <x:c r="T235" s="10" t="str">
        <x:v>https://www.24-7pressrelease.com/press-release/526148/serial-entrepreneur-and-cban-angel-investor-announce-500000-investment-in-public-safety-ai-innovation-program</x:v>
      </x:c>
      <x:c r="U235" s="10" t="str">
        <x:v>b0c59f6aa474f9</x:v>
      </x:c>
    </x:row>
    <x:row r="236" ht="55" customHeight="1">
      <x:c r="A236" s="10" t="str">
        <x:v>c870d1603c29d7</x:v>
      </x:c>
      <x:c r="B236" s="10" t="str">
        <x:v>Almanac Realty Investors / Neuberger</x:v>
      </x:c>
      <x:c r="C236" s="10" t="str"/>
      <x:c r="D236" s="10" t="str">
        <x:v>Operating / strategic equity</x:v>
      </x:c>
      <x:c r="E236" s="12" t="str">
        <x:v>1 (212) 476-9000</x:v>
      </x:c>
      <x:c r="F236" s="12" t="str"/>
      <x:c r="G236" s="10" t="str">
        <x:v>parent_company_general_business_mainline</x:v>
      </x:c>
      <x:c r="H236" s="10" t="str">
        <x:v>parent_company_general_business_mainline</x:v>
      </x:c>
      <x:c r="I236" s="10" t="str">
        <x:v>direct_corporate_check_unpublished</x:v>
      </x:c>
      <x:c r="J236" s="11"/>
      <x:c r="K236" s="11"/>
      <x:c r="L236" s="10" t="str">
        <x:v>New York, New York</x:v>
      </x:c>
      <x:c r="M236" s="10" t="str"/>
      <x:c r="N236" s="10" t="str">
        <x:v>Conditional research prospect</x:v>
      </x:c>
      <x:c r="O236" s="13" t="str">
        <x:v>new</x:v>
      </x:c>
      <x:c r="P236" s="13" t="str"/>
      <x:c r="Q236" s="10" t="str">
        <x:v>Not contacted / unconfirmed</x:v>
      </x:c>
      <x:c r="R236" s="10" t="str">
        <x:v>unverified</x:v>
      </x:c>
      <x:c r="S236" s="10" t="str">
        <x:v>2026-09-30</x:v>
      </x:c>
      <x:c r="T236" s="10" t="str">
        <x:v>https://www.almanacrealty.com/</x:v>
      </x:c>
      <x:c r="U236" s="10" t="str">
        <x:v>fe035660831cac</x:v>
      </x:c>
    </x:row>
    <x:row r="237" ht="55" customHeight="1">
      <x:c r="A237" s="10" t="str">
        <x:v>9a5be724e26341</x:v>
      </x:c>
      <x:c r="B237" s="10" t="str">
        <x:v>Compatriot Capital</x:v>
      </x:c>
      <x:c r="C237" s="10" t="str"/>
      <x:c r="D237" s="10" t="str">
        <x:v>Operating / strategic equity</x:v>
      </x:c>
      <x:c r="E237" s="12" t="str"/>
      <x:c r="F237" s="12" t="str"/>
      <x:c r="G237" s="10" t="str">
        <x:v>firm_business_routing</x:v>
      </x:c>
      <x:c r="H237" s="10" t="str">
        <x:v>firm_business_routing</x:v>
      </x:c>
      <x:c r="I237" s="10" t="str">
        <x:v>direct_corporate_check_unpublished</x:v>
      </x:c>
      <x:c r="J237" s="11"/>
      <x:c r="K237" s="11"/>
      <x:c r="L237" s="10" t="str">
        <x:v>Dallas, Texas</x:v>
      </x:c>
      <x:c r="M237" s="10" t="str"/>
      <x:c r="N237" s="10" t="str">
        <x:v>Conditional research prospect</x:v>
      </x:c>
      <x:c r="O237" s="13" t="str">
        <x:v>new</x:v>
      </x:c>
      <x:c r="P237" s="13" t="str"/>
      <x:c r="Q237" s="10" t="str">
        <x:v>Not contacted / unconfirmed</x:v>
      </x:c>
      <x:c r="R237" s="10" t="str">
        <x:v>unverified</x:v>
      </x:c>
      <x:c r="S237" s="10" t="str">
        <x:v>2026-09-30</x:v>
      </x:c>
      <x:c r="T237" s="10" t="str">
        <x:v>https://compatriotcapital.com/</x:v>
      </x:c>
      <x:c r="U237" s="10" t="str">
        <x:v>fbe1ecb5937625</x:v>
      </x:c>
    </x:row>
    <x:row r="238" ht="55" customHeight="1">
      <x:c r="A238" s="10" t="str">
        <x:v>1485a9e31e8126</x:v>
      </x:c>
      <x:c r="B238" s="10" t="str">
        <x:v>Factor Strategic Partners</x:v>
      </x:c>
      <x:c r="C238" s="10" t="str"/>
      <x:c r="D238" s="10" t="str">
        <x:v>Operating / strategic equity</x:v>
      </x:c>
      <x:c r="E238" s="12" t="str"/>
      <x:c r="F238" s="12" t="str">
        <x:v>info@factor-sp.com</x:v>
      </x:c>
      <x:c r="G238" s="10" t="str">
        <x:v>firm_business_routing</x:v>
      </x:c>
      <x:c r="H238" s="10" t="str">
        <x:v>firm_business_routing</x:v>
      </x:c>
      <x:c r="I238" s="10" t="str">
        <x:v>direct_corporate_check_unpublished</x:v>
      </x:c>
      <x:c r="J238" s="11"/>
      <x:c r="K238" s="11"/>
      <x:c r="L238" s="10" t="str">
        <x:v>Denver, Colorado; US platform mandate</x:v>
      </x:c>
      <x:c r="M238" s="10" t="str"/>
      <x:c r="N238" s="10" t="str">
        <x:v>Conditional research prospect</x:v>
      </x:c>
      <x:c r="O238" s="13" t="str">
        <x:v>new</x:v>
      </x:c>
      <x:c r="P238" s="13" t="str"/>
      <x:c r="Q238" s="10" t="str">
        <x:v>Not contacted / unconfirmed</x:v>
      </x:c>
      <x:c r="R238" s="10" t="str">
        <x:v>unverified</x:v>
      </x:c>
      <x:c r="S238" s="10" t="str">
        <x:v>2026-09-30</x:v>
      </x:c>
      <x:c r="T238" s="10" t="str">
        <x:v>https://www.factor-sp.com/</x:v>
      </x:c>
      <x:c r="U238" s="10" t="str">
        <x:v>a51bac31444945</x:v>
      </x:c>
    </x:row>
    <x:row r="239" ht="55" customHeight="1">
      <x:c r="A239" s="10" t="str">
        <x:v>e4e1f409f3b317</x:v>
      </x:c>
      <x:c r="B239" s="10" t="str">
        <x:v>Soho Bay Group</x:v>
      </x:c>
      <x:c r="C239" s="10" t="str"/>
      <x:c r="D239" s="10" t="str">
        <x:v>Operating / strategic equity</x:v>
      </x:c>
      <x:c r="E239" s="12" t="str"/>
      <x:c r="F239" s="12" t="str"/>
      <x:c r="G239" s="10" t="str">
        <x:v>firm_business_routing</x:v>
      </x:c>
      <x:c r="H239" s="10" t="str">
        <x:v>firm_business_routing</x:v>
      </x:c>
      <x:c r="I239" s="10" t="str">
        <x:v>direct_corporate_check_unpublished</x:v>
      </x:c>
      <x:c r="J239" s="11"/>
      <x:c r="K239" s="11"/>
      <x:c r="L239" s="10" t="str">
        <x:v>New York, New York</x:v>
      </x:c>
      <x:c r="M239" s="10" t="str"/>
      <x:c r="N239" s="10" t="str">
        <x:v>Conditional research prospect</x:v>
      </x:c>
      <x:c r="O239" s="13" t="str">
        <x:v>new</x:v>
      </x:c>
      <x:c r="P239" s="13" t="str"/>
      <x:c r="Q239" s="10" t="str">
        <x:v>Not contacted / unconfirmed</x:v>
      </x:c>
      <x:c r="R239" s="10" t="str">
        <x:v>unverified</x:v>
      </x:c>
      <x:c r="S239" s="10" t="str">
        <x:v>2026-09-30</x:v>
      </x:c>
      <x:c r="T239" s="10" t="str">
        <x:v>https://www.sohobaygroup.com/</x:v>
      </x:c>
      <x:c r="U239" s="10" t="str">
        <x:v>f16643bed31f85</x:v>
      </x:c>
    </x:row>
  </x:sheetData>
  <x:conditionalFormatting sqref="I5:I239">
    <x:cfRule type="containsText" dxfId="0" priority="1" operator="containsText" text="Not published"/>
    <x:cfRule type="containsText" dxfId="1" priority="2" operator="containsText" text="confirmation"/>
  </x:conditionalFormatting>
  <x:dataValidations count="1">
    <x:dataValidation type="list" sqref="O5:O239">
      <x:formula1>"new,reviewing,qualified,contacted,due_diligence,terms,closed,passed"</x:formula1>
    </x:dataValidation>
  </x:dataValidations>
  <x:pageMargins left="0.7" right="0.7" top="0.75" bottom="0.75" header="0.3" footer="0.3"/>
  <x:tableParts count="1">
    <x:tablePart xmlns:r="http://schemas.openxmlformats.org/officeDocument/2006/relationships" r:id="Rb36e61f7c9fb4ec8"/>
  </x:tableParts>
</x:worksheet>
</file>

<file path=xl/worksheets/sheet3.xml><?xml version="1.0" encoding="utf-8"?>
<x:worksheet xmlns:x="http://schemas.openxmlformats.org/spreadsheetml/2006/main">
  <x:sheetPr>
    <x:tabColor rgb="FF213A56"/>
  </x:sheetPr>
  <x:sheetViews>
    <x:sheetView showGridLines="0" workbookViewId="0">
      <x:pane xSplit="2" ySplit="4" topLeftCell="C5" activePane="bottomRight" state="frozen"/>
    </x:sheetView>
  </x:sheetViews>
  <x:sheetFormatPr defaultRowHeight="15"/>
  <x:cols>
    <x:col min="1" max="1" width="18" hidden="0" customWidth="1"/>
    <x:col min="2" max="2" width="30" hidden="0" customWidth="1"/>
    <x:col min="3" max="3" width="25" hidden="0" customWidth="1"/>
    <x:col min="4" max="4" width="52" hidden="0" customWidth="1"/>
    <x:col min="5" max="5" width="65" hidden="0" customWidth="1"/>
    <x:col min="6" max="6" width="70" hidden="0" customWidth="1"/>
    <x:col min="7" max="7" width="70" hidden="0" customWidth="1"/>
    <x:col min="8" max="8" width="110" hidden="0" customWidth="1"/>
    <x:col min="9" max="9" width="80" hidden="0" customWidth="1"/>
    <x:col min="10" max="10" width="80" hidden="0" customWidth="1"/>
    <x:col min="11" max="11" width="80" hidden="0" customWidth="1"/>
    <x:col min="12" max="12" width="80" hidden="0" customWidth="1"/>
    <x:col min="13" max="13" width="18" hidden="0" customWidth="1"/>
  </x:cols>
  <x:sheetData>
    <x:row r="1">
      <x:c r="A1" s="2"/>
      <x:c r="B1" s="2"/>
      <x:c r="C1" s="2"/>
      <x:c r="D1" s="2"/>
      <x:c r="E1" s="2"/>
      <x:c r="F1" s="2"/>
      <x:c r="G1" s="2"/>
      <x:c r="H1" s="2"/>
      <x:c r="I1" s="2"/>
      <x:c r="J1" s="2"/>
      <x:c r="K1" s="2"/>
      <x:c r="L1" s="2"/>
      <x:c r="M1" s="2"/>
    </x:row>
    <x:row r="2">
      <x:c r="A2" s="3" t="str">
        <x:v>Investment evidence and eligibility</x:v>
      </x:c>
      <x:c r="B2" s="2"/>
      <x:c r="C2" s="2"/>
      <x:c r="D2" s="2"/>
      <x:c r="E2" s="2"/>
      <x:c r="F2" s="2"/>
      <x:c r="G2" s="2"/>
      <x:c r="H2" s="2"/>
      <x:c r="I2" s="2"/>
      <x:c r="J2" s="2"/>
      <x:c r="K2" s="2"/>
      <x:c r="L2" s="2"/>
      <x:c r="M2" s="2"/>
    </x:row>
    <x:row r="3">
      <x:c r="A3" s="4" t="str">
        <x:v>Primary-source contacts and mandate observations. Website retrieval dates do not establish policy publication dates.</x:v>
      </x:c>
      <x:c r="B3" s="2"/>
      <x:c r="C3" s="2"/>
      <x:c r="D3" s="2"/>
      <x:c r="E3" s="2"/>
      <x:c r="F3" s="2"/>
      <x:c r="G3" s="2"/>
      <x:c r="H3" s="2"/>
      <x:c r="I3" s="2"/>
      <x:c r="J3" s="2"/>
      <x:c r="K3" s="2"/>
      <x:c r="L3" s="2"/>
      <x:c r="M3" s="2"/>
    </x:row>
    <x:row r="4" ht="36" customHeight="1">
      <x:c r="A4" s="8" t="str">
        <x:v>Contact ID</x:v>
      </x:c>
      <x:c r="B4" s="8" t="str">
        <x:v>Company / vehicle</x:v>
      </x:c>
      <x:c r="C4" s="8" t="str">
        <x:v>Named contact</x:v>
      </x:c>
      <x:c r="D4" s="8" t="str">
        <x:v>Range scope</x:v>
      </x:c>
      <x:c r="E4" s="8" t="str">
        <x:v>Minority equity evidence</x:v>
      </x:c>
      <x:c r="F4" s="8" t="str">
        <x:v>Mandate</x:v>
      </x:c>
      <x:c r="G4" s="8" t="str">
        <x:v>Why consider</x:v>
      </x:c>
      <x:c r="H4" s="8" t="str">
        <x:v>Requirements to confirm</x:v>
      </x:c>
      <x:c r="I4" s="8" t="str">
        <x:v>Email source</x:v>
      </x:c>
      <x:c r="J4" s="8" t="str">
        <x:v>Phone source</x:v>
      </x:c>
      <x:c r="K4" s="8" t="str">
        <x:v>Mandate source</x:v>
      </x:c>
      <x:c r="L4" s="8" t="str">
        <x:v>Profile source</x:v>
      </x:c>
      <x:c r="M4" s="8" t="str">
        <x:v>Observed date</x:v>
      </x:c>
    </x:row>
    <x:row r="5" ht="57" customHeight="1">
      <x:c r="A5" s="10" t="str">
        <x:v>b133c21ace21a3</x:v>
      </x:c>
      <x:c r="B5" s="10" t="str">
        <x:v>Contour Venture Partners</x:v>
      </x:c>
      <x:c r="C5" s="10" t="str"/>
      <x:c r="D5" s="10" t="str"/>
      <x:c r="E5" s="10" t="str">
        <x:v>unknown</x:v>
      </x:c>
      <x:c r="F5" s="10" t="str">
        <x:v>Seed investments, first institutional capital, active board representation.</x:v>
      </x:c>
      <x:c r="G5" s="10" t="str"/>
      <x:c r="H5" s="10" t="str">
        <x:v>Technology/financial services mandate; sector fit requires actual venture-scale product, not a fee-based execution contract.</x:v>
      </x:c>
      <x:c r="I5" s="10" t="str">
        <x:v>https://www.contourventures.com/contact</x:v>
      </x:c>
      <x:c r="J5" s="10" t="str">
        <x:v>https://www.contourventures.com/contact</x:v>
      </x:c>
      <x:c r="K5" s="10" t="str">
        <x:v>https://www.contourventures.com/investment-criteria/</x:v>
      </x:c>
      <x:c r="L5" s="10" t="str"/>
      <x:c r="M5" s="10" t="str">
        <x:v>2026-09-30</x:v>
      </x:c>
    </x:row>
    <x:row r="6" ht="44" customHeight="1">
      <x:c r="A6" s="10" t="str">
        <x:v>80bb0dc565fe47</x:v>
      </x:c>
      <x:c r="B6" s="10" t="str">
        <x:v>Revelry Venture Partners</x:v>
      </x:c>
      <x:c r="C6" s="10" t="str"/>
      <x:c r="D6" s="10" t="str"/>
      <x:c r="E6" s="10" t="str">
        <x:v>unknown</x:v>
      </x:c>
      <x:c r="F6" s="10" t="str">
        <x:v>US/Canada pre-seed and seed mission-driven technology startups.</x:v>
      </x:c>
      <x:c r="G6" s="10" t="str"/>
      <x:c r="H6" s="10" t="str">
        <x:v>Technology product mandate; fee-service execution may not fit; investment acceptance unconfirmed.</x:v>
      </x:c>
      <x:c r="I6" s="10" t="str">
        <x:v>https://revelry.co/contact/</x:v>
      </x:c>
      <x:c r="J6" s="10" t="str">
        <x:v>https://revelry.co/contact/</x:v>
      </x:c>
      <x:c r="K6" s="10" t="str">
        <x:v>https://revelry.co/venture-partners/</x:v>
      </x:c>
      <x:c r="L6" s="10" t="str"/>
      <x:c r="M6" s="10" t="str">
        <x:v>2026-09-30</x:v>
      </x:c>
    </x:row>
    <x:row r="7" ht="72" customHeight="1">
      <x:c r="A7" s="10" t="str">
        <x:v>5aa486125731e8</x:v>
      </x:c>
      <x:c r="B7" s="10" t="str">
        <x:v>Patterson Thoma Family Office</x:v>
      </x:c>
      <x:c r="C7" s="10" t="str"/>
      <x:c r="D7" s="10" t="str"/>
      <x:c r="E7" s="10" t="str">
        <x:v>Homepage says there is no minimum ownership percentage and capital can be equity or debt.</x:v>
      </x:c>
      <x:c r="F7" s="10" t="str">
        <x:v>Direct equity and debt, working capital and purchase order financing, flexible ownership and published check range include the requested $500K.</x:v>
      </x:c>
      <x:c r="G7" s="10" t="str">
        <x:v>Direct equity and debt, working capital and purchase order financing, flexible ownership and published check range include the requested $500K.</x:v>
      </x:c>
      <x:c r="H7" s="10" t="str">
        <x:v>Early-stage companies must have achieved revenue success through proven market demand. Acceptance, liquidity and contract diligence remain unverified.</x:v>
      </x:c>
      <x:c r="I7" s="10" t="str">
        <x:v>https://pattersonthoma.com/contact/</x:v>
      </x:c>
      <x:c r="J7" s="10" t="str">
        <x:v>https://pattersonthoma.com/contact/</x:v>
      </x:c>
      <x:c r="K7" s="10" t="str">
        <x:v>https://pattersonthoma.com/</x:v>
      </x:c>
      <x:c r="L7" s="10" t="str"/>
      <x:c r="M7" s="10" t="str">
        <x:v>2026-09-30</x:v>
      </x:c>
    </x:row>
    <x:row r="8" ht="177" customHeight="1">
      <x:c r="A8" s="10" t="str">
        <x:v>c57e414cedb025</x:v>
      </x:c>
      <x:c r="B8" s="10" t="str">
        <x:v>Act One Ventures</x:v>
      </x:c>
      <x:c r="C8" s="10" t="str">
        <x:v>Alejandro Guerrero</x:v>
      </x:c>
      <x:c r="D8" s="10" t="str">
        <x:v>$500,000-$2,000,000 firm ticket</x:v>
      </x:c>
      <x:c r="E8" s="10" t="str">
        <x:v>inferred_seed_equity_not_confirmed_9_3_percent</x:v>
      </x:c>
      <x:c r="F8" s="10" t="str">
        <x:v>Enterprise AI; AI-native operating systems and services</x:v>
      </x:c>
      <x:c r="G8"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Could evaluate a defensible AI-enabled workflow/service, but pure contract fulfillment capital is not published mandate.</x:v>
      </x:c>
      <x:c r="H8"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Could evaluate a defensible AI-enabled workflow/service, but pure contract fulfillment capital is not published mandate. software_and_venture_growth_unconfirmed; 101XVC is described as an origination/acquisition/marketing operator with proprietary software, not demonstrated standalone SaaS. Could evaluate a defensible AI-enabled workflow/service, but pure contract fulfillment capital is not published mandate. 101XVC is described as an origination/acquisition/marketing operator with proprietary software, not demonstrated standalone SaaS. Could evaluate a defensible AI-enabled workflow/service, but pure contract fulfillment capital is not published mandate.</x:v>
      </x:c>
      <x:c r="I8" s="10" t="str">
        <x:v>https://www.actoneventures.com/llm-info</x:v>
      </x:c>
      <x:c r="J8" s="10" t="str">
        <x:v>https://adviserinfo.sec.gov/firm/summary/283875</x:v>
      </x:c>
      <x:c r="K8" s="10" t="str">
        <x:v>https://www.actoneventures.com/llm-info</x:v>
      </x:c>
      <x:c r="L8" s="10" t="str">
        <x:v>https://www.actoneventures.com/llm-info</x:v>
      </x:c>
      <x:c r="M8" s="10" t="str">
        <x:v>2026-09-30</x:v>
      </x:c>
    </x:row>
    <x:row r="9" ht="72" customHeight="1">
      <x:c r="A9" s="10" t="str">
        <x:v>de00e42af29969</x:v>
      </x:c>
      <x:c r="B9" s="10" t="str">
        <x:v>Contour Venture Partners</x:v>
      </x:c>
      <x:c r="C9" s="10" t="str">
        <x:v>Bob Greene</x:v>
      </x:c>
      <x:c r="D9" s="10" t="str">
        <x:v>$500,000-$2,000,000 firm initial ticket</x:v>
      </x:c>
      <x:c r="E9" s="10" t="str">
        <x:v>venture_equity_structure_inferred_terms_not_confirmed</x:v>
      </x:c>
      <x:c r="F9" s="10" t="str">
        <x:v>technology_or_business_services_conditional</x:v>
      </x:c>
      <x:c r="G9" s="10" t="str">
        <x:v>Published office contact number associated with Bob Greene, not identified as personal mobile. Software and venture-growth fit unconfirmed.</x:v>
      </x:c>
      <x:c r="H9" s="10" t="str">
        <x:v>Published office contact number associated with Bob Greene, not identified as personal mobile. Software and venture-growth fit unconfirmed.</x:v>
      </x:c>
      <x:c r="I9" s="10" t="str">
        <x:v>https://www.contourventures.com/contact</x:v>
      </x:c>
      <x:c r="J9" s="10" t="str">
        <x:v>https://www.contourventures.com/contact</x:v>
      </x:c>
      <x:c r="K9" s="10" t="str">
        <x:v>https://www.contourventures.com/investment-criteria/</x:v>
      </x:c>
      <x:c r="L9" s="10" t="str">
        <x:v>https://www.contourventures.com/team</x:v>
      </x:c>
      <x:c r="M9" s="10" t="str">
        <x:v>2026-09-30</x:v>
      </x:c>
    </x:row>
    <x:row r="10" ht="192" customHeight="1">
      <x:c r="A10" s="10" t="str">
        <x:v>e7add6a8c50ffc</x:v>
      </x:c>
      <x:c r="B10" s="10" t="str">
        <x:v>Contour Venture Partners</x:v>
      </x:c>
      <x:c r="C10" s="10" t="str">
        <x:v>Matt Gorin</x:v>
      </x:c>
      <x:c r="D10" s="10" t="str">
        <x:v>$500,000-$2,000,000 firm ticket</x:v>
      </x:c>
      <x:c r="E10" s="10" t="str">
        <x:v>inferred_seed_equity_not_confirmed_9_3_percent</x:v>
      </x:c>
      <x:c r="F10" s="10" t="str">
        <x:v>Enterprise and vertical B2B software, financial services, digital media</x:v>
      </x:c>
      <x:c r="G10"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Published path to profitability supports operating discipline, but recurring software/technology advantage and long-duration growth still required.</x:v>
      </x:c>
      <x:c r="H10"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Published path to profitability supports operating discipline, but recurring software/technology advantage and long-duration growth still required. software_and_venture_growth_unconfirmed; 101XVC is described as an origination/acquisition/marketing operator with proprietary software, not demonstrated standalone SaaS. Published path to profitability supports operating discipline, but recurring software/technology advantage and long-duration growth still required. 101XVC is described as an origination/acquisition/marketing operator with proprietary software, not demonstrated standalone SaaS. Published path to profitability supports operating discipline, but recurring software/technology advantage and long-duration growth still required.</x:v>
      </x:c>
      <x:c r="I10" s="10" t="str">
        <x:v>https://www.contourventures.com/contact</x:v>
      </x:c>
      <x:c r="J10" s="10" t="str">
        <x:v>https://www.contourventures.com/contact</x:v>
      </x:c>
      <x:c r="K10" s="10" t="str">
        <x:v>https://www.contourventures.com/investment-criteria/</x:v>
      </x:c>
      <x:c r="L10" s="10" t="str">
        <x:v>https://www.contourventures.com/team</x:v>
      </x:c>
      <x:c r="M10" s="10" t="str">
        <x:v>2026-09-30</x:v>
      </x:c>
    </x:row>
    <x:row r="11" ht="72" customHeight="1">
      <x:c r="A11" s="10" t="str">
        <x:v>c893598b019b21</x:v>
      </x:c>
      <x:c r="B11" s="10" t="str">
        <x:v>Grotech Ventures</x:v>
      </x:c>
      <x:c r="C11" s="10" t="str">
        <x:v>Chuck Cullen</x:v>
      </x:c>
      <x:c r="D11" s="10" t="str">
        <x:v>$500,000-$5,000,000 firm initial ticket</x:v>
      </x:c>
      <x:c r="E11" s="10" t="str">
        <x:v>venture_equity_structure_inferred_terms_not_confirmed</x:v>
      </x:c>
      <x:c r="F11" s="10" t="str">
        <x:v>technology_or_business_services_conditional</x:v>
      </x:c>
      <x:c r="G11" s="10" t="str">
        <x:v>Firm mainline. Company invests in technology and tech-enabled services; direct individual capital and acceptance of 9.3% unconfirmed.</x:v>
      </x:c>
      <x:c r="H11" s="10" t="str">
        <x:v>Firm mainline. Company invests in technology and tech-enabled services; direct individual capital and acceptance of 9.3% unconfirmed.</x:v>
      </x:c>
      <x:c r="I11" s="10" t="str">
        <x:v>https://www.grotech.com/team</x:v>
      </x:c>
      <x:c r="J11" s="10" t="str">
        <x:v>https://www.grotech.com/team</x:v>
      </x:c>
      <x:c r="K11" s="10" t="str">
        <x:v>https://www.grotech.com/team/chuck-cullen</x:v>
      </x:c>
      <x:c r="L11" s="10" t="str">
        <x:v>https://www.grotech.com/team/chuck-cullen</x:v>
      </x:c>
      <x:c r="M11" s="10" t="str">
        <x:v>2026-09-30</x:v>
      </x:c>
    </x:row>
    <x:row r="12" ht="177" customHeight="1">
      <x:c r="A12" s="10" t="str">
        <x:v>8f8a77763f88ae</x:v>
      </x:c>
      <x:c r="B12" s="10" t="str">
        <x:v>Grotech Ventures</x:v>
      </x:c>
      <x:c r="C12" s="10" t="str">
        <x:v>Julia Taxin</x:v>
      </x:c>
      <x:c r="D12" s="10" t="str">
        <x:v>$500,000-$5,000,000 firm ticket</x:v>
      </x:c>
      <x:c r="E12" s="10" t="str">
        <x:v>inferred_seed_equity_not_confirmed_9_3_percent</x:v>
      </x:c>
      <x:c r="F12" s="10" t="str">
        <x:v>B2B vertical software, fintech, supply chain/logistics</x:v>
      </x:c>
      <x:c r="G12"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Portfolio includes real estate platform businesses, but current capital is concentrated in high-growth B 2B software.</x:v>
      </x:c>
      <x:c r="H12"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Portfolio includes real estate platform businesses, but current capital is concentrated in high-growth B 2B software. software_and_venture_growth_unconfirmed; 101XVC is described as an origination/acquisition/marketing operator with proprietary software, not demonstrated standalone SaaS. Portfolio includes real estate platform businesses, but current capital is concentrated in high-growth B2B software. 101XVC is described as an origination/acquisition/marketing operator with proprietary software, not demonstrated standalone SaaS. Portfolio includes real estate platform businesses, but current capital is concentrated in high-growth B2B software.</x:v>
      </x:c>
      <x:c r="I12" s="10" t="str">
        <x:v>https://www.grotech.com/team/julia-taxin</x:v>
      </x:c>
      <x:c r="J12" s="10" t="str">
        <x:v>https://www.grotech.com/</x:v>
      </x:c>
      <x:c r="K12" s="10" t="str">
        <x:v>https://www.grotech.com/about</x:v>
      </x:c>
      <x:c r="L12" s="10" t="str">
        <x:v>https://www.grotech.com/team/julia-taxin</x:v>
      </x:c>
      <x:c r="M12" s="10" t="str">
        <x:v>2026-09-30</x:v>
      </x:c>
    </x:row>
    <x:row r="13" ht="72" customHeight="1">
      <x:c r="A13" s="10" t="str">
        <x:v>f747141b10bd15</x:v>
      </x:c>
      <x:c r="B13" s="10" t="str">
        <x:v>Grotech Ventures</x:v>
      </x:c>
      <x:c r="C13" s="10" t="str">
        <x:v>Lawson DeVries</x:v>
      </x:c>
      <x:c r="D13" s="10" t="str">
        <x:v>$500,000-$5,000,000 firm initial ticket</x:v>
      </x:c>
      <x:c r="E13" s="10" t="str">
        <x:v>venture_equity_structure_inferred_terms_not_confirmed</x:v>
      </x:c>
      <x:c r="F13" s="10" t="str">
        <x:v>technology_or_business_services_conditional</x:v>
      </x:c>
      <x:c r="G13" s="10" t="str">
        <x:v>Firm mainline. Company invests in technology and tech-enabled services; direct individual capital and acceptance of 9.3% unconfirmed.</x:v>
      </x:c>
      <x:c r="H13" s="10" t="str">
        <x:v>Firm mainline. Company invests in technology and tech-enabled services; direct individual capital and acceptance of 9.3% unconfirmed.</x:v>
      </x:c>
      <x:c r="I13" s="10" t="str">
        <x:v>https://www.grotech.com/team</x:v>
      </x:c>
      <x:c r="J13" s="10" t="str">
        <x:v>https://www.grotech.com/team</x:v>
      </x:c>
      <x:c r="K13" s="10" t="str">
        <x:v>https://www.grotech.com/team/lawson-devries</x:v>
      </x:c>
      <x:c r="L13" s="10" t="str">
        <x:v>https://www.grotech.com/team/lawson-devries</x:v>
      </x:c>
      <x:c r="M13" s="10" t="str">
        <x:v>2026-09-30</x:v>
      </x:c>
    </x:row>
    <x:row r="14" ht="72" customHeight="1">
      <x:c r="A14" s="10" t="str">
        <x:v>b0f79d381fc00b</x:v>
      </x:c>
      <x:c r="B14" s="10" t="str">
        <x:v>Grotech Ventures</x:v>
      </x:c>
      <x:c r="C14" s="10" t="str">
        <x:v>Steve Fredrick</x:v>
      </x:c>
      <x:c r="D14" s="10" t="str">
        <x:v>$500,000-$5,000,000 firm initial ticket</x:v>
      </x:c>
      <x:c r="E14" s="10" t="str">
        <x:v>venture_equity_structure_inferred_terms_not_confirmed</x:v>
      </x:c>
      <x:c r="F14" s="10" t="str">
        <x:v>technology_or_business_services_conditional</x:v>
      </x:c>
      <x:c r="G14" s="10" t="str">
        <x:v>Firm mainline. Company invests in technology and tech-enabled services; direct individual capital and acceptance of 9.3% unconfirmed.</x:v>
      </x:c>
      <x:c r="H14" s="10" t="str">
        <x:v>Firm mainline. Company invests in technology and tech-enabled services; direct individual capital and acceptance of 9.3% unconfirmed.</x:v>
      </x:c>
      <x:c r="I14" s="10" t="str">
        <x:v>https://www.grotech.com/team</x:v>
      </x:c>
      <x:c r="J14" s="10" t="str">
        <x:v>https://www.grotech.com/team</x:v>
      </x:c>
      <x:c r="K14" s="10" t="str">
        <x:v>https://www.grotech.com/team/steve-fredrick</x:v>
      </x:c>
      <x:c r="L14" s="10" t="str">
        <x:v>https://www.grotech.com/team/steve-fredrick</x:v>
      </x:c>
      <x:c r="M14" s="10" t="str">
        <x:v>2026-09-30</x:v>
      </x:c>
    </x:row>
    <x:row r="15" ht="72" customHeight="1">
      <x:c r="A15" s="10" t="str">
        <x:v>369db8c8ba5a82</x:v>
      </x:c>
      <x:c r="B15" s="10" t="str">
        <x:v>Inspired Capital</x:v>
      </x:c>
      <x:c r="C15" s="10" t="str">
        <x:v>Alexa Gellman</x:v>
      </x:c>
      <x:c r="D15" s="10" t="str">
        <x:v>$500,000-$20,000,000 firm initial ticket</x:v>
      </x:c>
      <x:c r="E15" s="10" t="str">
        <x:v>venture_equity_structure_inferred_terms_not_confirmed</x:v>
      </x:c>
      <x:c r="F15" s="10" t="str">
        <x:v>generalist_seed_venture_conditional</x:v>
      </x:c>
      <x:c r="G15" s="10" t="str">
        <x:v>Named professional email plus SEC company mainline. Firm check policy, not personal commitment.101XVC venture model and 9.3% terms unconfirmed.</x:v>
      </x:c>
      <x:c r="H15" s="10" t="str">
        <x:v>Named professional email plus SEC company mainline. Firm check policy, not personal commitment.101XVC venture model and 9.3% terms unconfirmed.</x:v>
      </x:c>
      <x:c r="I15" s="10" t="str">
        <x:v>https://www.inspiredcapital.com/team</x:v>
      </x:c>
      <x:c r="J15" s="10" t="str">
        <x:v>https://adviserinfo.sec.gov/firm/summary/301426</x:v>
      </x:c>
      <x:c r="K15" s="10" t="str">
        <x:v>https://www.inspiredcapital.com/team</x:v>
      </x:c>
      <x:c r="L15" s="10" t="str">
        <x:v>https://www.inspiredcapital.com/team</x:v>
      </x:c>
      <x:c r="M15" s="10" t="str">
        <x:v>2026-09-30</x:v>
      </x:c>
    </x:row>
    <x:row r="16" ht="72" customHeight="1">
      <x:c r="A16" s="10" t="str">
        <x:v>abd478341607f4</x:v>
      </x:c>
      <x:c r="B16" s="10" t="str">
        <x:v>Inspired Capital</x:v>
      </x:c>
      <x:c r="C16" s="10" t="str">
        <x:v>Alexa von Tobel</x:v>
      </x:c>
      <x:c r="D16" s="10" t="str">
        <x:v>$500,000-$20,000,000 firm initial ticket</x:v>
      </x:c>
      <x:c r="E16" s="10" t="str">
        <x:v>venture_equity_structure_inferred_terms_not_confirmed</x:v>
      </x:c>
      <x:c r="F16" s="10" t="str">
        <x:v>real_estate_generalist_venture_model_conditional</x:v>
      </x:c>
      <x:c r="G16" s="10" t="str">
        <x:v>SEC-published firm business mainline, not direct phone. Fewer than ten investments annually. Need demonstrate venture growth, repeatable software advantage and model eligibility.</x:v>
      </x:c>
      <x:c r="H16" s="10" t="str">
        <x:v>SEC-published firm business mainline, not direct phone. Fewer than ten investments annually. Need demonstrate venture growth, repeatable software advantage and model eligibility.</x:v>
      </x:c>
      <x:c r="I16" s="10" t="str">
        <x:v>https://www.inspiredcapital.com/</x:v>
      </x:c>
      <x:c r="J16" s="10" t="str">
        <x:v>https://adviserinfo.sec.gov/firm/summary/301426</x:v>
      </x:c>
      <x:c r="K16" s="10" t="str">
        <x:v>https://www.inspiredcapital.com/</x:v>
      </x:c>
      <x:c r="L16" s="10" t="str">
        <x:v>https://www.inspiredcapital.com/</x:v>
      </x:c>
      <x:c r="M16" s="10" t="str">
        <x:v>2026-09-30</x:v>
      </x:c>
    </x:row>
    <x:row r="17" ht="72" customHeight="1">
      <x:c r="A17" s="10" t="str">
        <x:v>187339754bfa4b</x:v>
      </x:c>
      <x:c r="B17" s="10" t="str">
        <x:v>Inspired Capital</x:v>
      </x:c>
      <x:c r="C17" s="10" t="str">
        <x:v>Charlotte Ross</x:v>
      </x:c>
      <x:c r="D17" s="10" t="str">
        <x:v>$500,000-$20,000,000 firm initial ticket</x:v>
      </x:c>
      <x:c r="E17" s="10" t="str">
        <x:v>venture_equity_structure_inferred_terms_not_confirmed</x:v>
      </x:c>
      <x:c r="F17" s="10" t="str">
        <x:v>real_estate_generalist_venture_model_conditional</x:v>
      </x:c>
      <x:c r="G17" s="10" t="str">
        <x:v>SEC-published firm business mainline, not direct phone. Fewer than ten investments annually. Need demonstrate venture growth, repeatable software advantage and model eligibility.</x:v>
      </x:c>
      <x:c r="H17" s="10" t="str">
        <x:v>SEC-published firm business mainline, not direct phone. Fewer than ten investments annually. Need demonstrate venture growth, repeatable software advantage and model eligibility.</x:v>
      </x:c>
      <x:c r="I17" s="10" t="str">
        <x:v>https://www.inspiredcapital.com/</x:v>
      </x:c>
      <x:c r="J17" s="10" t="str">
        <x:v>https://adviserinfo.sec.gov/firm/summary/301426</x:v>
      </x:c>
      <x:c r="K17" s="10" t="str">
        <x:v>https://www.inspiredcapital.com/</x:v>
      </x:c>
      <x:c r="L17" s="10" t="str">
        <x:v>https://www.inspiredcapital.com/</x:v>
      </x:c>
      <x:c r="M17" s="10" t="str">
        <x:v>2026-09-30</x:v>
      </x:c>
    </x:row>
    <x:row r="18" ht="72" customHeight="1">
      <x:c r="A18" s="10" t="str">
        <x:v>f5734f30c02570</x:v>
      </x:c>
      <x:c r="B18" s="10" t="str">
        <x:v>Inspired Capital</x:v>
      </x:c>
      <x:c r="C18" s="10" t="str">
        <x:v>Chris Brown</x:v>
      </x:c>
      <x:c r="D18" s="10" t="str">
        <x:v>$500,000-$20,000,000 firm initial ticket</x:v>
      </x:c>
      <x:c r="E18" s="10" t="str">
        <x:v>venture_equity_structure_inferred_terms_not_confirmed</x:v>
      </x:c>
      <x:c r="F18" s="10" t="str">
        <x:v>real_estate_generalist_venture_model_conditional</x:v>
      </x:c>
      <x:c r="G18" s="10" t="str">
        <x:v>SEC-published firm business mainline, not direct phone. Fewer than ten investments annually. Need demonstrate venture growth, repeatable software advantage and model eligibility.</x:v>
      </x:c>
      <x:c r="H18" s="10" t="str">
        <x:v>SEC-published firm business mainline, not direct phone. Fewer than ten investments annually. Need demonstrate venture growth, repeatable software advantage and model eligibility.</x:v>
      </x:c>
      <x:c r="I18" s="10" t="str">
        <x:v>https://www.inspiredcapital.com/</x:v>
      </x:c>
      <x:c r="J18" s="10" t="str">
        <x:v>https://adviserinfo.sec.gov/firm/summary/301426</x:v>
      </x:c>
      <x:c r="K18" s="10" t="str">
        <x:v>https://www.inspiredcapital.com/</x:v>
      </x:c>
      <x:c r="L18" s="10" t="str">
        <x:v>https://www.inspiredcapital.com/</x:v>
      </x:c>
      <x:c r="M18" s="10" t="str">
        <x:v>2026-09-30</x:v>
      </x:c>
    </x:row>
    <x:row r="19" ht="72" customHeight="1">
      <x:c r="A19" s="10" t="str">
        <x:v>49f8fc68bb8f16</x:v>
      </x:c>
      <x:c r="B19" s="10" t="str">
        <x:v>Inspired Capital</x:v>
      </x:c>
      <x:c r="C19" s="10" t="str">
        <x:v>Kamran Ali</x:v>
      </x:c>
      <x:c r="D19" s="10" t="str">
        <x:v>$500,000-$20,000,000 firm initial ticket</x:v>
      </x:c>
      <x:c r="E19" s="10" t="str">
        <x:v>venture_equity_structure_inferred_terms_not_confirmed</x:v>
      </x:c>
      <x:c r="F19" s="10" t="str">
        <x:v>real_estate_generalist_venture_model_conditional</x:v>
      </x:c>
      <x:c r="G19" s="10" t="str">
        <x:v>SEC-published firm business mainline, not direct phone. Fewer than ten investments annually. Need demonstrate venture growth, repeatable software advantage and model eligibility.</x:v>
      </x:c>
      <x:c r="H19" s="10" t="str">
        <x:v>SEC-published firm business mainline, not direct phone. Fewer than ten investments annually. Need demonstrate venture growth, repeatable software advantage and model eligibility.</x:v>
      </x:c>
      <x:c r="I19" s="10" t="str">
        <x:v>https://www.inspiredcapital.com/</x:v>
      </x:c>
      <x:c r="J19" s="10" t="str">
        <x:v>https://adviserinfo.sec.gov/firm/summary/301426</x:v>
      </x:c>
      <x:c r="K19" s="10" t="str">
        <x:v>https://www.inspiredcapital.com/</x:v>
      </x:c>
      <x:c r="L19" s="10" t="str">
        <x:v>https://www.inspiredcapital.com/</x:v>
      </x:c>
      <x:c r="M19" s="10" t="str">
        <x:v>2026-09-30</x:v>
      </x:c>
    </x:row>
    <x:row r="20" ht="72" customHeight="1">
      <x:c r="A20" s="10" t="str">
        <x:v>63e5fa32b3754c</x:v>
      </x:c>
      <x:c r="B20" s="10" t="str">
        <x:v>Inspired Capital</x:v>
      </x:c>
      <x:c r="C20" s="10" t="str">
        <x:v>Lucy Deland</x:v>
      </x:c>
      <x:c r="D20" s="10" t="str">
        <x:v>$500,000-$20,000,000 firm initial ticket</x:v>
      </x:c>
      <x:c r="E20" s="10" t="str">
        <x:v>venture_equity_structure_inferred_terms_not_confirmed</x:v>
      </x:c>
      <x:c r="F20" s="10" t="str">
        <x:v>real_estate_generalist_venture_model_conditional</x:v>
      </x:c>
      <x:c r="G20" s="10" t="str">
        <x:v>SEC-published firm business mainline, not direct phone. Fewer than ten investments annually. Need demonstrate venture growth, repeatable software advantage and model eligibility.</x:v>
      </x:c>
      <x:c r="H20" s="10" t="str">
        <x:v>SEC-published firm business mainline, not direct phone. Fewer than ten investments annually. Need demonstrate venture growth, repeatable software advantage and model eligibility.</x:v>
      </x:c>
      <x:c r="I20" s="10" t="str">
        <x:v>https://www.inspiredcapital.com/</x:v>
      </x:c>
      <x:c r="J20" s="10" t="str">
        <x:v>https://adviserinfo.sec.gov/firm/summary/301426</x:v>
      </x:c>
      <x:c r="K20" s="10" t="str">
        <x:v>https://www.inspiredcapital.com/</x:v>
      </x:c>
      <x:c r="L20" s="10" t="str">
        <x:v>https://www.inspiredcapital.com/</x:v>
      </x:c>
      <x:c r="M20" s="10" t="str">
        <x:v>2026-09-30</x:v>
      </x:c>
    </x:row>
    <x:row r="21" ht="162" customHeight="1">
      <x:c r="A21" s="10" t="str">
        <x:v>148ff4d549af12</x:v>
      </x:c>
      <x:c r="B21" s="10" t="str">
        <x:v>Inspired Capital</x:v>
      </x:c>
      <x:c r="C21" s="10" t="str">
        <x:v>Mark Batsiyan</x:v>
      </x:c>
      <x:c r="D21" s="10" t="str">
        <x:v>$500,000-$20,000,000 firm initial ticket</x:v>
      </x:c>
      <x:c r="E21" s="10" t="str">
        <x:v>venture_equity_structure_inferred_terms_not_confirmed</x:v>
      </x:c>
      <x:c r="F21" s="10" t="str">
        <x:v>real_estate_generalist_venture_model_conditional</x:v>
      </x:c>
      <x:c r="G21" s="10" t="str">
        <x:v>SEC-published firm business mainline, not direct phone. Fewer than ten investments annually. Need demonstrate venture growth, repeatable software advantage and model eligibility.</x:v>
      </x:c>
      <x:c r="H21" s="10" t="str">
        <x:v>SEC-published firm business mainline, not direct phone. Fewer than ten investments annually. Need demonstrate venture growth, repeatable software advantage and model eligibility. 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Generalist mandate includes real estate, and published partner bio identifies OJO Labs. Fewer than ten investments annually; high selectivity. 101XVC is described as an origination/acquisition/marketing operator with proprietary software, not demonstrated standalone SaaS. Fewer than ten investments annually; high selectivity.</x:v>
      </x:c>
      <x:c r="I21" s="10" t="str">
        <x:v>https://www.inspiredcapital.com/</x:v>
      </x:c>
      <x:c r="J21" s="10" t="str">
        <x:v>https://adviserinfo.sec.gov/firm/summary/301426</x:v>
      </x:c>
      <x:c r="K21" s="10" t="str">
        <x:v>https://www.inspiredcapital.com/</x:v>
      </x:c>
      <x:c r="L21" s="10" t="str">
        <x:v>https://www.inspiredcapital.com/</x:v>
      </x:c>
      <x:c r="M21" s="10" t="str">
        <x:v>2026-09-30</x:v>
      </x:c>
    </x:row>
    <x:row r="22" ht="72" customHeight="1">
      <x:c r="A22" s="10" t="str">
        <x:v>ec886a674ad2bd</x:v>
      </x:c>
      <x:c r="B22" s="10" t="str">
        <x:v>Inspired Capital</x:v>
      </x:c>
      <x:c r="C22" s="10" t="str">
        <x:v>Penny Pritzker</x:v>
      </x:c>
      <x:c r="D22" s="10" t="str">
        <x:v>$500,000-$20,000,000 firm initial ticket</x:v>
      </x:c>
      <x:c r="E22" s="10" t="str">
        <x:v>venture_equity_structure_inferred_terms_not_confirmed</x:v>
      </x:c>
      <x:c r="F22" s="10" t="str">
        <x:v>real_estate_generalist_venture_model_conditional</x:v>
      </x:c>
      <x:c r="G22" s="10" t="str">
        <x:v>SEC-published firm business mainline, not direct phone. Fewer than ten investments annually. Need demonstrate venture growth, repeatable software advantage and model eligibility.</x:v>
      </x:c>
      <x:c r="H22" s="10" t="str">
        <x:v>SEC-published firm business mainline, not direct phone. Fewer than ten investments annually. Need demonstrate venture growth, repeatable software advantage and model eligibility.</x:v>
      </x:c>
      <x:c r="I22" s="10" t="str">
        <x:v>https://www.inspiredcapital.com/</x:v>
      </x:c>
      <x:c r="J22" s="10" t="str">
        <x:v>https://adviserinfo.sec.gov/firm/summary/301426</x:v>
      </x:c>
      <x:c r="K22" s="10" t="str">
        <x:v>https://www.inspiredcapital.com/</x:v>
      </x:c>
      <x:c r="L22" s="10" t="str">
        <x:v>https://www.inspiredcapital.com/</x:v>
      </x:c>
      <x:c r="M22" s="10" t="str">
        <x:v>2026-09-30</x:v>
      </x:c>
    </x:row>
    <x:row r="23" ht="192" customHeight="1">
      <x:c r="A23" s="10" t="str">
        <x:v>a722941af2113a</x:v>
      </x:c>
      <x:c r="B23" s="10" t="str">
        <x:v>Laconia</x:v>
      </x:c>
      <x:c r="C23" s="10" t="str">
        <x:v>David Arcara</x:v>
      </x:c>
      <x:c r="D23" s="10" t="str">
        <x:v>$250,000-$1,000,000 firm ticket</x:v>
      </x:c>
      <x:c r="E23" s="10" t="str">
        <x:v>inferred_seed_equity_not_confirmed_9_3_percent</x:v>
      </x:c>
      <x:c r="F23" s="10" t="str">
        <x:v>Applied AI and B2B software; supply chain, fintech, martech</x:v>
      </x:c>
      <x:c r="G23"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Official blog discusses Software + services and data advantages, but requires venture-scale B 2B workflow opportunity, not a fee projection alone.</x:v>
      </x:c>
      <x:c r="H23"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Official blog discusses Software + services and data advantages, but requires venture-scale B 2B workflow opportunity, not a fee projection alone. software_and_venture_growth_unconfirmed; 101XVC is described as an origination/acquisition/marketing operator with proprietary software, not demonstrated standalone SaaS. Official blog discusses Software + services and data advantages, but requires venture-scale B2B workflow opportunity, not a fee projection alone. 101XVC is described as an origination/acquisition/marketing operator with proprietary software, not demonstrated standalone SaaS. Official blog discusses Software + services and data advantages, but requires venture-scale B2B workflow opportunity, not a fee projection alone.</x:v>
      </x:c>
      <x:c r="I23" s="10" t="str">
        <x:v>https://www.laconiacapitalgroup.com/people</x:v>
      </x:c>
      <x:c r="J23" s="10" t="str">
        <x:v>https://adviserinfo.sec.gov/firm/summary/321749</x:v>
      </x:c>
      <x:c r="K23" s="10" t="str">
        <x:v>https://www.laconiacapitalgroup.com/faq</x:v>
      </x:c>
      <x:c r="L23" s="10" t="str">
        <x:v>https://www.laconiacapitalgroup.com/people</x:v>
      </x:c>
      <x:c r="M23" s="10" t="str">
        <x:v>2026-09-30</x:v>
      </x:c>
    </x:row>
    <x:row r="24" ht="57" customHeight="1">
      <x:c r="A24" s="10" t="str">
        <x:v>3e2b6729196352</x:v>
      </x:c>
      <x:c r="B24" s="10" t="str">
        <x:v>Laconia</x:v>
      </x:c>
      <x:c r="C24" s="10" t="str">
        <x:v>Geri Kirilova</x:v>
      </x:c>
      <x:c r="D24" s="10" t="str">
        <x:v>$250,000-$1,000,000 firm initial ticket</x:v>
      </x:c>
      <x:c r="E24" s="10" t="str">
        <x:v>venture_equity_structure_inferred_terms_not_confirmed</x:v>
      </x:c>
      <x:c r="F24" s="10" t="str">
        <x:v>b2b_software_seed_conditional</x:v>
      </x:c>
      <x:c r="G24" s="10" t="str">
        <x:v>SEC business mainline, not direct phone. Request overlaps firm seed ticket; software eligibility and 9.3% acceptance unconfirmed.</x:v>
      </x:c>
      <x:c r="H24" s="10" t="str">
        <x:v>SEC business mainline, not direct phone. Request overlaps firm seed ticket; software eligibility and 9.3% acceptance unconfirmed.</x:v>
      </x:c>
      <x:c r="I24" s="10" t="str">
        <x:v>https://www.laconiacapitalgroup.com/people</x:v>
      </x:c>
      <x:c r="J24" s="10" t="str">
        <x:v>https://adviserinfo.sec.gov/firm/summary/321749</x:v>
      </x:c>
      <x:c r="K24" s="10" t="str">
        <x:v>https://www.laconiacapitalgroup.com/people</x:v>
      </x:c>
      <x:c r="L24" s="10" t="str">
        <x:v>https://www.laconiacapitalgroup.com/people</x:v>
      </x:c>
      <x:c r="M24" s="10" t="str">
        <x:v>2026-09-30</x:v>
      </x:c>
    </x:row>
    <x:row r="25" ht="57" customHeight="1">
      <x:c r="A25" s="10" t="str">
        <x:v>dd83a2db62d961</x:v>
      </x:c>
      <x:c r="B25" s="10" t="str">
        <x:v>Laconia</x:v>
      </x:c>
      <x:c r="C25" s="10" t="str">
        <x:v>Jeffrey Silverman</x:v>
      </x:c>
      <x:c r="D25" s="10" t="str">
        <x:v>$250,000-$1,000,000 firm initial ticket</x:v>
      </x:c>
      <x:c r="E25" s="10" t="str">
        <x:v>venture_equity_structure_inferred_terms_not_confirmed</x:v>
      </x:c>
      <x:c r="F25" s="10" t="str">
        <x:v>b2b_software_seed_conditional</x:v>
      </x:c>
      <x:c r="G25" s="10" t="str">
        <x:v>SEC business mainline, not direct phone. Request overlaps firm seed ticket; software eligibility and 9.3% acceptance unconfirmed.</x:v>
      </x:c>
      <x:c r="H25" s="10" t="str">
        <x:v>SEC business mainline, not direct phone. Request overlaps firm seed ticket; software eligibility and 9.3% acceptance unconfirmed.</x:v>
      </x:c>
      <x:c r="I25" s="10" t="str">
        <x:v>https://www.laconiacapitalgroup.com/people</x:v>
      </x:c>
      <x:c r="J25" s="10" t="str">
        <x:v>https://adviserinfo.sec.gov/firm/summary/321749</x:v>
      </x:c>
      <x:c r="K25" s="10" t="str">
        <x:v>https://www.laconiacapitalgroup.com/people</x:v>
      </x:c>
      <x:c r="L25" s="10" t="str">
        <x:v>https://www.laconiacapitalgroup.com/people</x:v>
      </x:c>
      <x:c r="M25" s="10" t="str">
        <x:v>2026-09-30</x:v>
      </x:c>
    </x:row>
    <x:row r="26" ht="72" customHeight="1">
      <x:c r="A26" s="10" t="str">
        <x:v>1f1d86be686a30</x:v>
      </x:c>
      <x:c r="B26" s="10" t="str">
        <x:v>Legacy Growth Partners</x:v>
      </x:c>
      <x:c r="C26" s="10" t="str">
        <x:v>Corey Galloway</x:v>
      </x:c>
      <x:c r="D26" s="10" t="str">
        <x:v>$500,000-$3,000,000 access to nondiscretionary fund, not personal capital</x:v>
      </x:c>
      <x:c r="E26" s="10" t="str">
        <x:v>unconfirmed</x:v>
      </x:c>
      <x:c r="F26" s="10" t="str">
        <x:v>real_estate_and_operating_company_growth_equity_legacy_review</x:v>
      </x:c>
      <x:c r="G26" s="10" t="str">
        <x:v>Legacy website copyright 2010; current deployment and contact responsiveness unverified. Capital page refers to access to a nondiscretionary fund, not owned committed capital.</x:v>
      </x:c>
      <x:c r="H26" s="10" t="str">
        <x:v>Legacy website copyright 2010; current deployment and contact responsiveness unverified. Capital page refers to access to a nondiscretionary fund, not owned committed capital.</x:v>
      </x:c>
      <x:c r="I26" s="10" t="str">
        <x:v>https://www.legacygrowthpartners.com/TheTeam.html</x:v>
      </x:c>
      <x:c r="J26" s="10" t="str">
        <x:v>https://www.legacygrowthpartners.com/TheTeam.html</x:v>
      </x:c>
      <x:c r="K26" s="10" t="str">
        <x:v>https://www.legacygrowthpartners.com/TheTeam.html</x:v>
      </x:c>
      <x:c r="L26" s="10" t="str">
        <x:v>https://www.legacygrowthpartners.com/TheTeam.html</x:v>
      </x:c>
      <x:c r="M26" s="10" t="str">
        <x:v>2026-09-30</x:v>
      </x:c>
    </x:row>
    <x:row r="27" ht="72" customHeight="1">
      <x:c r="A27" s="10" t="str">
        <x:v>c55b4bc7861f0b</x:v>
      </x:c>
      <x:c r="B27" s="10" t="str">
        <x:v>Magnolia Ventures</x:v>
      </x:c>
      <x:c r="C27" s="10" t="str">
        <x:v>Graham C. Phillips</x:v>
      </x:c>
      <x:c r="D27" s="10" t="str">
        <x:v>$50,000-$1,000,000 firm seed ticket</x:v>
      </x:c>
      <x:c r="E27" s="10" t="str">
        <x:v>venture_equity_structure_inferred_terms_not_confirmed</x:v>
      </x:c>
      <x:c r="F27" s="10" t="str">
        <x:v>technology_or_business_services_conditional</x:v>
      </x:c>
      <x:c r="G27" s="10" t="str">
        <x:v>Public corporate inbox and office phone; no named individual email found. Investment policy is firm policy; service-led pilot eligibility unconfirmed.</x:v>
      </x:c>
      <x:c r="H27" s="10" t="str">
        <x:v>Public corporate inbox and office phone; no named individual email found. Investment policy is firm policy; service-led pilot eligibility unconfirmed.</x:v>
      </x:c>
      <x:c r="I27" s="10" t="str">
        <x:v>https://magventuresllc.com/services/</x:v>
      </x:c>
      <x:c r="J27" s="10" t="str">
        <x:v>https://magventuresllc.com/services/</x:v>
      </x:c>
      <x:c r="K27" s="10" t="str">
        <x:v>https://magventuresllc.com/about/</x:v>
      </x:c>
      <x:c r="L27" s="10" t="str">
        <x:v>https://magventuresllc.com/services/</x:v>
      </x:c>
      <x:c r="M27" s="10" t="str">
        <x:v>2026-09-30</x:v>
      </x:c>
    </x:row>
    <x:row r="28" ht="72" customHeight="1">
      <x:c r="A28" s="10" t="str">
        <x:v>43012b21c979c1</x:v>
      </x:c>
      <x:c r="B28" s="10" t="str">
        <x:v>Magnolia Ventures</x:v>
      </x:c>
      <x:c r="C28" s="10" t="str">
        <x:v>Philip H. Reicherz</x:v>
      </x:c>
      <x:c r="D28" s="10" t="str">
        <x:v>$50,000-$1,000,000 firm seed ticket</x:v>
      </x:c>
      <x:c r="E28" s="10" t="str">
        <x:v>venture_equity_structure_inferred_terms_not_confirmed</x:v>
      </x:c>
      <x:c r="F28" s="10" t="str">
        <x:v>technology_or_business_services_conditional</x:v>
      </x:c>
      <x:c r="G28" s="10" t="str">
        <x:v>Public corporate inbox and office phone; no named individual email found. Investment policy is firm policy; service-led pilot eligibility unconfirmed.</x:v>
      </x:c>
      <x:c r="H28" s="10" t="str">
        <x:v>Public corporate inbox and office phone; no named individual email found. Investment policy is firm policy; service-led pilot eligibility unconfirmed.</x:v>
      </x:c>
      <x:c r="I28" s="10" t="str">
        <x:v>https://magventuresllc.com/services/</x:v>
      </x:c>
      <x:c r="J28" s="10" t="str">
        <x:v>https://magventuresllc.com/services/</x:v>
      </x:c>
      <x:c r="K28" s="10" t="str">
        <x:v>https://magventuresllc.com/about/</x:v>
      </x:c>
      <x:c r="L28" s="10" t="str">
        <x:v>https://magventuresllc.com/services/</x:v>
      </x:c>
      <x:c r="M28" s="10" t="str">
        <x:v>2026-09-30</x:v>
      </x:c>
    </x:row>
    <x:row r="29" ht="72" customHeight="1">
      <x:c r="A29" s="10" t="str">
        <x:v>03bac56188e25f</x:v>
      </x:c>
      <x:c r="B29" s="10" t="str">
        <x:v>Patterson Thoma Family Office</x:v>
      </x:c>
      <x:c r="C29" s="10" t="str">
        <x:v>Carrie Gillespie</x:v>
      </x:c>
      <x:c r="D29" s="10" t="str">
        <x:v>$100,000-$20,000,000 published firm range</x:v>
      </x:c>
      <x:c r="E29" s="10" t="str">
        <x:v>firm_publishes_no_minimum_ownership_percentage</x:v>
      </x:c>
      <x:c r="F29" s="10" t="str">
        <x:v>operating_company_minority_equity_and_working_capital_thematic_fit</x:v>
      </x:c>
      <x:c r="G29" s="10" t="str">
        <x:v>New investments inbox is corporate routing, not individual email. Revenue success/proven market demand needed for early-stage investments. Cash and exact ownership acceptance unverified.</x:v>
      </x:c>
      <x:c r="H29" s="10" t="str">
        <x:v>New investments inbox is corporate routing, not individual email. Revenue success/proven market demand needed for early-stage investments. Cash and exact ownership acceptance unverified.</x:v>
      </x:c>
      <x:c r="I29" s="10" t="str">
        <x:v>https://pattersonthoma.com/contact/</x:v>
      </x:c>
      <x:c r="J29" s="10" t="str">
        <x:v>https://pattersonthoma.com/contact/</x:v>
      </x:c>
      <x:c r="K29" s="10" t="str">
        <x:v>https://pattersonthoma.com/company-profile/</x:v>
      </x:c>
      <x:c r="L29" s="10" t="str">
        <x:v>https://pattersonthoma.com/company-profile/</x:v>
      </x:c>
      <x:c r="M29" s="10" t="str">
        <x:v>2026-09-30</x:v>
      </x:c>
    </x:row>
    <x:row r="30" ht="72" customHeight="1">
      <x:c r="A30" s="10" t="str">
        <x:v>c763f18cd6d41b</x:v>
      </x:c>
      <x:c r="B30" s="10" t="str">
        <x:v>Patterson Thoma Family Office</x:v>
      </x:c>
      <x:c r="C30" s="10" t="str">
        <x:v>Cody Patterson</x:v>
      </x:c>
      <x:c r="D30" s="10" t="str">
        <x:v>$100,000-$20,000,000 published firm range</x:v>
      </x:c>
      <x:c r="E30" s="10" t="str">
        <x:v>firm_publishes_no_minimum_ownership_percentage</x:v>
      </x:c>
      <x:c r="F30" s="10" t="str">
        <x:v>operating_company_minority_equity_and_working_capital_thematic_fit</x:v>
      </x:c>
      <x:c r="G30" s="10" t="str">
        <x:v>Corporate new-investment inbox/mainline, not individual email. Family affiliation does not establish personal liquidity. Early stage company must have proven market demand/revenue success.</x:v>
      </x:c>
      <x:c r="H30" s="10" t="str">
        <x:v>Corporate new-investment inbox/mainline, not individual email. Family affiliation does not establish personal liquidity. Early stage company must have proven market demand/revenue success.</x:v>
      </x:c>
      <x:c r="I30" s="10" t="str">
        <x:v>https://pattersonthoma.com/</x:v>
      </x:c>
      <x:c r="J30" s="10" t="str">
        <x:v>https://pattersonthoma.com/</x:v>
      </x:c>
      <x:c r="K30" s="10" t="str">
        <x:v>https://pattersonthoma.com/</x:v>
      </x:c>
      <x:c r="L30" s="10" t="str">
        <x:v>https://pattersonthoma.com/</x:v>
      </x:c>
      <x:c r="M30" s="10" t="str">
        <x:v>2026-09-30</x:v>
      </x:c>
    </x:row>
    <x:row r="31" ht="72" customHeight="1">
      <x:c r="A31" s="10" t="str">
        <x:v>160b05e430f682</x:v>
      </x:c>
      <x:c r="B31" s="10" t="str">
        <x:v>Patterson Thoma Family Office</x:v>
      </x:c>
      <x:c r="C31" s="10" t="str">
        <x:v>Colin Patrick</x:v>
      </x:c>
      <x:c r="D31" s="10" t="str">
        <x:v>$100,000-$20,000,000 published firm range</x:v>
      </x:c>
      <x:c r="E31" s="10" t="str">
        <x:v>firm_publishes_no_minimum_ownership_percentage</x:v>
      </x:c>
      <x:c r="F31" s="10" t="str">
        <x:v>operating_company_minority_equity_and_working_capital_thematic_fit</x:v>
      </x:c>
      <x:c r="G31" s="10" t="str">
        <x:v>New investments inbox is corporate routing, not individual email. Revenue success/proven market demand needed for early-stage investments. Cash and exact ownership acceptance unverified.</x:v>
      </x:c>
      <x:c r="H31" s="10" t="str">
        <x:v>New investments inbox is corporate routing, not individual email. Revenue success/proven market demand needed for early-stage investments. Cash and exact ownership acceptance unverified.</x:v>
      </x:c>
      <x:c r="I31" s="10" t="str">
        <x:v>https://pattersonthoma.com/contact/</x:v>
      </x:c>
      <x:c r="J31" s="10" t="str">
        <x:v>https://pattersonthoma.com/contact/</x:v>
      </x:c>
      <x:c r="K31" s="10" t="str">
        <x:v>https://pattersonthoma.com/company-profile/</x:v>
      </x:c>
      <x:c r="L31" s="10" t="str">
        <x:v>https://pattersonthoma.com/company-profile/</x:v>
      </x:c>
      <x:c r="M31" s="10" t="str">
        <x:v>2026-09-30</x:v>
      </x:c>
    </x:row>
    <x:row r="32" ht="72" customHeight="1">
      <x:c r="A32" s="10" t="str">
        <x:v>3575a6bb5f0f99</x:v>
      </x:c>
      <x:c r="B32" s="10" t="str">
        <x:v>Patterson Thoma Family Office</x:v>
      </x:c>
      <x:c r="C32" s="10" t="str">
        <x:v>Dan Patterson</x:v>
      </x:c>
      <x:c r="D32" s="10" t="str">
        <x:v>$100,000-$20,000,000 published firm range</x:v>
      </x:c>
      <x:c r="E32" s="10" t="str">
        <x:v>firm_publishes_no_minimum_ownership_percentage</x:v>
      </x:c>
      <x:c r="F32" s="10" t="str">
        <x:v>operating_company_minority_equity_and_working_capital_thematic_fit</x:v>
      </x:c>
      <x:c r="G32" s="10" t="str">
        <x:v>New investments inbox is corporate routing, not individual email. Revenue success/proven market demand needed for early-stage investments. Cash and exact ownership acceptance unverified.</x:v>
      </x:c>
      <x:c r="H32" s="10" t="str">
        <x:v>New investments inbox is corporate routing, not individual email. Revenue success/proven market demand needed for early-stage investments. Cash and exact ownership acceptance unverified.</x:v>
      </x:c>
      <x:c r="I32" s="10" t="str">
        <x:v>https://pattersonthoma.com/contact/</x:v>
      </x:c>
      <x:c r="J32" s="10" t="str">
        <x:v>https://pattersonthoma.com/contact/</x:v>
      </x:c>
      <x:c r="K32" s="10" t="str">
        <x:v>https://pattersonthoma.com/company-profile/</x:v>
      </x:c>
      <x:c r="L32" s="10" t="str">
        <x:v>https://pattersonthoma.com/company-profile/</x:v>
      </x:c>
      <x:c r="M32" s="10" t="str">
        <x:v>2026-09-30</x:v>
      </x:c>
    </x:row>
    <x:row r="33" ht="72" customHeight="1">
      <x:c r="A33" s="10" t="str">
        <x:v>c79c8113c51483</x:v>
      </x:c>
      <x:c r="B33" s="10" t="str">
        <x:v>Patterson Thoma Family Office</x:v>
      </x:c>
      <x:c r="C33" s="10" t="str">
        <x:v>Robby Gillespie</x:v>
      </x:c>
      <x:c r="D33" s="10" t="str">
        <x:v>$100,000-$20,000,000 published firm range</x:v>
      </x:c>
      <x:c r="E33" s="10" t="str">
        <x:v>firm_publishes_no_minimum_ownership_percentage</x:v>
      </x:c>
      <x:c r="F33" s="10" t="str">
        <x:v>operating_company_minority_equity_and_working_capital_thematic_fit</x:v>
      </x:c>
      <x:c r="G33" s="10" t="str">
        <x:v>New investments inbox is corporate routing, not individual email. Revenue success/proven market demand needed for early-stage investments. Cash and exact ownership acceptance unverified.</x:v>
      </x:c>
      <x:c r="H33" s="10" t="str">
        <x:v>New investments inbox is corporate routing, not individual email. Revenue success/proven market demand needed for early-stage investments. Cash and exact ownership acceptance unverified.</x:v>
      </x:c>
      <x:c r="I33" s="10" t="str">
        <x:v>https://pattersonthoma.com/contact/</x:v>
      </x:c>
      <x:c r="J33" s="10" t="str">
        <x:v>https://pattersonthoma.com/contact/</x:v>
      </x:c>
      <x:c r="K33" s="10" t="str">
        <x:v>https://pattersonthoma.com/company-profile/</x:v>
      </x:c>
      <x:c r="L33" s="10" t="str">
        <x:v>https://pattersonthoma.com/company-profile/</x:v>
      </x:c>
      <x:c r="M33" s="10" t="str">
        <x:v>2026-09-30</x:v>
      </x:c>
    </x:row>
    <x:row r="34" ht="72" customHeight="1">
      <x:c r="A34" s="10" t="str">
        <x:v>209f190b6e314f</x:v>
      </x:c>
      <x:c r="B34" s="10" t="str">
        <x:v>Solender Capital</x:v>
      </x:c>
      <x:c r="C34" s="10" t="str">
        <x:v>Jordan Solender</x:v>
      </x:c>
      <x:c r="D34" s="10" t="str">
        <x:v>$100,000-$500,000 published operator-led capital ticket</x:v>
      </x:c>
      <x:c r="E34" s="10" t="str">
        <x:v>published_active_minority_portfolio_examples</x:v>
      </x:c>
      <x:c r="F34" s="10" t="str">
        <x:v>operator_led_services_ticket_minority_strong_thematic_fit</x:v>
      </x:c>
      <x:c r="G34" s="10" t="str">
        <x:v>Phone is Solender Events operating-company mainline, not a dedicated investment or direct personal line. Profitable or near-profitable companies preferred. Exact 9.3% terms unconfirmed.</x:v>
      </x:c>
      <x:c r="H34" s="10" t="str">
        <x:v>Phone is Solender Events operating-company mainline, not a dedicated investment or direct personal line. Profitable or near-profitable companies preferred. Exact 9.3% terms unconfirmed.</x:v>
      </x:c>
      <x:c r="I34" s="10" t="str">
        <x:v>https://www.jordansolender.com/solender-capital</x:v>
      </x:c>
      <x:c r="J34" s="10" t="str">
        <x:v>https://www.solenderevents.com/</x:v>
      </x:c>
      <x:c r="K34" s="10" t="str">
        <x:v>https://www.jordansolender.com/solender-capital</x:v>
      </x:c>
      <x:c r="L34" s="10" t="str">
        <x:v>https://www.jordansolender.com/solender-capital</x:v>
      </x:c>
      <x:c r="M34" s="10" t="str">
        <x:v>2026-09-30</x:v>
      </x:c>
    </x:row>
    <x:row r="35" ht="177" customHeight="1">
      <x:c r="A35" s="10" t="str">
        <x:v>8f91640c968bdf</x:v>
      </x:c>
      <x:c r="B35" s="10" t="str">
        <x:v>Vertical Venture Partners</x:v>
      </x:c>
      <x:c r="C35" s="10" t="str">
        <x:v>Matt Schwab</x:v>
      </x:c>
      <x:c r="D35" s="10" t="str">
        <x:v>$500,000-$2,500,000 firm ticket</x:v>
      </x:c>
      <x:c r="E35" s="10" t="str">
        <x:v>inferred_seed_equity_not_confirmed_9_3_percent</x:v>
      </x:c>
      <x:c r="F35" s="10" t="str">
        <x:v>Vertical enterprise software; healthcare, trucking, education and construction</x:v>
      </x:c>
      <x:c r="G35"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Published double-digit ownership target conflicts with 9.3% unless negotiable. Requires vertical enterprise product rather than generic operations funding.</x:v>
      </x:c>
      <x:c r="H35"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Published double-digit ownership target conflicts with 9.3% unless negotiable. Requires vertical enterprise product rather than generic operations funding. software_and_venture_growth_unconfirmed; 101XVC is described as an origination/acquisition/marketing operator with proprietary software, not demonstrated standalone SaaS. Published double-digit ownership target conflicts with9.3% unless negotiable. Requires vertical enterprise product rather than generic operations funding. 101XVC is described as an origination/acquisition/marketing operator with proprietary software, not demonstrated standalone SaaS. Requires vertical enterprise product rather than generic operations funding.</x:v>
      </x:c>
      <x:c r="I35" s="10" t="str">
        <x:v>https://vvp.vc/how-we-invest</x:v>
      </x:c>
      <x:c r="J35" s="10" t="str">
        <x:v>https://adviserinfo.sec.gov/firm/summary/288845</x:v>
      </x:c>
      <x:c r="K35" s="10" t="str">
        <x:v>https://vvp.vc/how-we-invest</x:v>
      </x:c>
      <x:c r="L35" s="10" t="str">
        <x:v>https://vvp.vc/team</x:v>
      </x:c>
      <x:c r="M35" s="10" t="str">
        <x:v>2026-09-30</x:v>
      </x:c>
    </x:row>
    <x:row r="36" ht="132" customHeight="1">
      <x:c r="A36" s="10" t="str">
        <x:v>a58b35170ed4aa</x:v>
      </x:c>
      <x:c r="B36" s="10" t="str">
        <x:v>Blumberg Capital</x:v>
      </x:c>
      <x:c r="C36" s="10" t="str"/>
      <x:c r="D36" s="10" t="str">
        <x:v>company_investment_not_LP_subscription</x:v>
      </x:c>
      <x:c r="E36" s="10" t="str">
        <x:v>Seed venture financing suggests minority equity; exact control/ownership terms not published or verified.</x:v>
      </x:c>
      <x:c r="F36" s="10" t="str">
        <x:v>Published company investment ticket overlaps $500K; sector or workflow relevance warrants a conditional strategic introduction.</x:v>
      </x:c>
      <x:c r="G36" s="10" t="str">
        <x:v>Published company investment ticket overlaps $500K; sector or workflow relevance warrants a conditional strategic introduction.</x:v>
      </x:c>
      <x:c r="H36"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Active early-stage investor, but software/AI product and scale economics remain unconfirmed for this operator. 101XVC is described as an origination/acquisition/marketing operator with proprietary software, not demonstrated standalone SaaS. Active early-stage investor, but software/AI product and scale economics remain unconfirmed for this operator.</x:v>
      </x:c>
      <x:c r="I36" s="10" t="str">
        <x:v>https://blumbergcapital.com/our-approach/</x:v>
      </x:c>
      <x:c r="J36" s="10" t="str">
        <x:v>https://adviserinfo.sec.gov/firm/summary/163230</x:v>
      </x:c>
      <x:c r="K36" s="10" t="str">
        <x:v>https://blumbergcapital.com/our-approach/</x:v>
      </x:c>
      <x:c r="L36" s="10" t="str"/>
      <x:c r="M36" s="10" t="str">
        <x:v>2026-09-30</x:v>
      </x:c>
    </x:row>
    <x:row r="37" ht="132" customHeight="1">
      <x:c r="A37" s="10" t="str">
        <x:v>bbd927b3f656a6</x:v>
      </x:c>
      <x:c r="B37" s="10" t="str">
        <x:v>Connetic Ventures</x:v>
      </x:c>
      <x:c r="C37" s="10" t="str"/>
      <x:c r="D37" s="10" t="str">
        <x:v>company_investment_not_LP_subscription</x:v>
      </x:c>
      <x:c r="E37" s="10" t="str">
        <x:v>Seed venture financing suggests minority equity; exact control/ownership terms not published or verified.</x:v>
      </x:c>
      <x:c r="F37" s="10" t="str">
        <x:v>Published company investment ticket overlaps $500K; sector or workflow relevance warrants a conditional strategic introduction.</x:v>
      </x:c>
      <x:c r="G37" s="10" t="str">
        <x:v>Published company investment ticket overlaps $500K; sector or workflow relevance warrants a conditional strategic introduction.</x:v>
      </x:c>
      <x:c r="H37"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Published valuation cap$15M; fund investor-service phone intentionally not used. Exact company equity percentage unconfirmed. 101XVC is described as an origination/acquisition/marketing operator with proprietary software, not demonstrated standalone SaaS. Exact company equity percentage unconfirmed.</x:v>
      </x:c>
      <x:c r="I37" s="10" t="str">
        <x:v>https://www.conneticventures.com/</x:v>
      </x:c>
      <x:c r="J37" s="10" t="str">
        <x:v>https://adviserinfo.sec.gov/firm/summary/329078</x:v>
      </x:c>
      <x:c r="K37" s="10" t="str">
        <x:v>https://www.conneticventures.com/</x:v>
      </x:c>
      <x:c r="L37" s="10" t="str"/>
      <x:c r="M37" s="10" t="str">
        <x:v>2026-09-30</x:v>
      </x:c>
    </x:row>
    <x:row r="38" ht="147" customHeight="1">
      <x:c r="A38" s="10" t="str">
        <x:v>62341bbd6c3830</x:v>
      </x:c>
      <x:c r="B38" s="10" t="str">
        <x:v>FCVC / FundersClub</x:v>
      </x:c>
      <x:c r="C38" s="10" t="str">
        <x:v>Alex Mittal</x:v>
      </x:c>
      <x:c r="D38" s="10" t="str">
        <x:v>company_investment_not_LP_subscription</x:v>
      </x:c>
      <x:c r="E38" s="10" t="str">
        <x:v>Seed venture financing suggests minority equity; exact control/ownership terms not published or verified.</x:v>
      </x:c>
      <x:c r="F38" s="10" t="str">
        <x:v>Published company investment ticket overlaps $500K; sector or workflow relevance warrants a conditional strategic introduction.</x:v>
      </x:c>
      <x:c r="G38" s="10" t="str">
        <x:v>Published company investment ticket overlaps $500K; sector or workflow relevance warrants a conditional strategic introduction.</x:v>
      </x:c>
      <x:c r="H38"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FCVC institutional fund and FundersClub online co-investment platform share organization; do not count as two separate funding vehicles. Typical seed range and general venture eligibility need confirmation. 101XVC is described as an origination/acquisition/marketing operator with proprietary software, not demonstrated standalone SaaS. Typical seed range and general venture eligibility need confirmation.</x:v>
      </x:c>
      <x:c r="I38" s="10" t="str">
        <x:v>https://www.fcvc.com/partners</x:v>
      </x:c>
      <x:c r="J38" s="10" t="str">
        <x:v>https://adviserinfo.sec.gov/firm/summary/166518</x:v>
      </x:c>
      <x:c r="K38" s="10" t="str">
        <x:v>https://www.fcvc.com/faq</x:v>
      </x:c>
      <x:c r="L38" s="10" t="str"/>
      <x:c r="M38" s="10" t="str">
        <x:v>2026-09-30</x:v>
      </x:c>
    </x:row>
    <x:row r="39" ht="147" customHeight="1">
      <x:c r="A39" s="10" t="str">
        <x:v>c4fcdbb2d863bf</x:v>
      </x:c>
      <x:c r="B39" s="10" t="str">
        <x:v>First Seed Ventures</x:v>
      </x:c>
      <x:c r="C39" s="10" t="str"/>
      <x:c r="D39" s="10" t="str">
        <x:v>company_investment_not_LP_subscription</x:v>
      </x:c>
      <x:c r="E39" s="10" t="str">
        <x:v>Seed venture financing suggests minority equity; exact control/ownership terms not published or verified.</x:v>
      </x:c>
      <x:c r="F39" s="10" t="str">
        <x:v>Published company investment ticket overlaps $500K; sector or workflow relevance warrants a conditional strategic introduction.</x:v>
      </x:c>
      <x:c r="G39" s="10" t="str">
        <x:v>Published company investment ticket overlaps $500K; sector or workflow relevance warrants a conditional strategic introduction.</x:v>
      </x:c>
      <x:c r="H39"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Published focus includes real estate services, making this closer than pure software funds; existing operator maturity may conflict with first seed mandate. 101XVC is described as an origination/acquisition/marketing operator with proprietary software, not demonstrated standalone SaaS. Published focus includes real estate services, making this closer than pure software funds; existing operator maturity may conflict with first seed mandate.</x:v>
      </x:c>
      <x:c r="I39" s="10" t="str">
        <x:v>https://www.firstseedventures.com/</x:v>
      </x:c>
      <x:c r="J39" s="10" t="str">
        <x:v>https://www.firstseedventures.com/</x:v>
      </x:c>
      <x:c r="K39" s="10" t="str">
        <x:v>https://www.firstseedventures.com/</x:v>
      </x:c>
      <x:c r="L39" s="10" t="str"/>
      <x:c r="M39" s="10" t="str">
        <x:v>2026-09-30</x:v>
      </x:c>
    </x:row>
    <x:row r="40" ht="132" customHeight="1">
      <x:c r="A40" s="10" t="str">
        <x:v>88c69c6596ff4e</x:v>
      </x:c>
      <x:c r="B40" s="10" t="str">
        <x:v>Liquid 2 Ventures</x:v>
      </x:c>
      <x:c r="C40" s="10" t="str"/>
      <x:c r="D40" s="10" t="str">
        <x:v>company_investment_not_LP_subscription</x:v>
      </x:c>
      <x:c r="E40" s="10" t="str">
        <x:v>Seed venture financing suggests minority equity; exact control/ownership terms not published or verified.</x:v>
      </x:c>
      <x:c r="F40" s="10" t="str">
        <x:v>Published company investment ticket overlaps $500K; sector or workflow relevance warrants a conditional strategic introduction.</x:v>
      </x:c>
      <x:c r="G40" s="10" t="str">
        <x:v>Published company investment ticket overlaps $500K; sector or workflow relevance warrants a conditional strategic introduction.</x:v>
      </x:c>
      <x:c r="H40"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Source describes median band, not guaranteed min/max policy; later growth$2M-$5M is separate strategy. 101XVC is described as an origination/acquisition/marketing operator with proprietary software, not demonstrated standalone SaaS. Source describes median band, not guaranteed min/max policy; later growth$2M-$5M is separate strategy.</x:v>
      </x:c>
      <x:c r="I40" s="10" t="str">
        <x:v>https://www.liquid2.vc/faq</x:v>
      </x:c>
      <x:c r="J40" s="10" t="str">
        <x:v>https://adviserinfo.sec.gov/firm/summary/305376</x:v>
      </x:c>
      <x:c r="K40" s="10" t="str">
        <x:v>https://www.liquid2.vc/faq</x:v>
      </x:c>
      <x:c r="L40" s="10" t="str"/>
      <x:c r="M40" s="10" t="str">
        <x:v>2026-09-30</x:v>
      </x:c>
    </x:row>
    <x:row r="41" ht="147" customHeight="1">
      <x:c r="A41" s="10" t="str">
        <x:v>53c140900f42c1</x:v>
      </x:c>
      <x:c r="B41" s="10" t="str">
        <x:v>Script Capital</x:v>
      </x:c>
      <x:c r="C41" s="10" t="str"/>
      <x:c r="D41" s="10" t="str">
        <x:v>company_investment_not_LP_subscription</x:v>
      </x:c>
      <x:c r="E41" s="10" t="str">
        <x:v>Seed venture financing suggests minority equity; exact control/ownership terms not published or verified.</x:v>
      </x:c>
      <x:c r="F41" s="10" t="str">
        <x:v>Published company investment ticket overlaps $500K; sector or workflow relevance warrants a conditional strategic introduction.</x:v>
      </x:c>
      <x:c r="G41" s="10" t="str">
        <x:v>Published company investment ticket overlaps $500K; sector or workflow relevance warrants a conditional strategic introduction.</x:v>
      </x:c>
      <x:c r="H41"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Email decoded only from the exact publicly encoded email link on this page, not inferred from a pattern. Portfolio includes home maintenance and construction; technical product eligibility unconfirmed. 101XVC is described as an origination/acquisition/marketing operator with proprietary software, not demonstrated standalone SaaS. Portfolio includes home maintenance and construction; technical product eligibility unconfirmed.</x:v>
      </x:c>
      <x:c r="I41" s="10" t="str">
        <x:v>https://www.script.capital/</x:v>
      </x:c>
      <x:c r="J41" s="10" t="str">
        <x:v>https://adviserinfo.sec.gov/firm/summary/288264</x:v>
      </x:c>
      <x:c r="K41" s="10" t="str">
        <x:v>https://www.script.capital/</x:v>
      </x:c>
      <x:c r="L41" s="10" t="str"/>
      <x:c r="M41" s="10" t="str">
        <x:v>2026-09-30</x:v>
      </x:c>
    </x:row>
    <x:row r="42" ht="132" customHeight="1">
      <x:c r="A42" s="10" t="str">
        <x:v>8e567827e12c9a</x:v>
      </x:c>
      <x:c r="B42" s="10" t="str">
        <x:v>Union Heritage Ventures</x:v>
      </x:c>
      <x:c r="C42" s="10" t="str"/>
      <x:c r="D42" s="10" t="str">
        <x:v>company_investment_not_LP_subscription</x:v>
      </x:c>
      <x:c r="E42" s="10" t="str">
        <x:v>Seed venture financing suggests minority equity; exact control/ownership terms not published or verified.</x:v>
      </x:c>
      <x:c r="F42" s="10" t="str">
        <x:v>Published company investment ticket overlaps $500K; sector or workflow relevance warrants a conditional strategic introduction.</x:v>
      </x:c>
      <x:c r="G42" s="10" t="str">
        <x:v>Published company investment ticket overlaps $500K; sector or workflow relevance warrants a conditional strategic introduction.</x:v>
      </x:c>
      <x:c r="H42"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Michigan Momentum seed range $200K-$1M overlaps. Horizon Fund is described as beginning late 2026 and is not claimed currently active. Requires technology/product differentiation. 101XVC is described as an origination/acquisition/marketing operator with proprietary software, not demonstrated standalone SaaS. Requires technology/product differentiation.</x:v>
      </x:c>
      <x:c r="I42" s="10" t="str">
        <x:v>https://unionheritage.com/venture-capital/</x:v>
      </x:c>
      <x:c r="J42" s="10" t="str">
        <x:v>https://adviserinfo.sec.gov/firm/summary/319588</x:v>
      </x:c>
      <x:c r="K42" s="10" t="str">
        <x:v>https://unionheritage.com/venture-capital/</x:v>
      </x:c>
      <x:c r="L42" s="10" t="str"/>
      <x:c r="M42" s="10" t="str">
        <x:v>2026-09-30</x:v>
      </x:c>
    </x:row>
    <x:row r="43" ht="87" customHeight="1">
      <x:c r="A43" s="10" t="str">
        <x:v>7635735b2145a8</x:v>
      </x:c>
      <x:c r="B43" s="10" t="str">
        <x:v>Accelerating Angels</x:v>
      </x:c>
      <x:c r="C43" s="10" t="str"/>
      <x:c r="D43" s="10" t="str">
        <x:v>collective_group_or_fund_unless_explicitly_stated</x:v>
      </x:c>
      <x:c r="E43" s="10" t="str">
        <x:v>ACA publicly labels this named organization Network. This establishes a group/fund discovery route, not an individual cash commitment.</x:v>
      </x:c>
      <x:c r="F43" s="10" t="str">
        <x:v>High-growth women founders; ACA card currently links to Women’s Small Business Accelerator.</x:v>
      </x:c>
      <x:c r="G43" s="10" t="str">
        <x:v>Unconfirmed route for company equity. No proof of willingness or available $500K cash for this specific offer.</x:v>
      </x:c>
      <x:c r="H43" s="10" t="str">
        <x:v>Women-founder focus; published accelerator admin contact is institutional, not a verified individual investor. Group/fund route; does not identify a single person able or willing to invest $500K.; No investor commitment, liquid-cash proof, approval of proposed 9.3%/8% terms or guaranteed return has been established.</x:v>
      </x:c>
      <x:c r="I43" s="10" t="str">
        <x:v>https://www.wsbaohio.org/contact</x:v>
      </x:c>
      <x:c r="J43" s="10" t="str">
        <x:v>https://www.wsbaohio.org/contact</x:v>
      </x:c>
      <x:c r="K43" s="10" t="str">
        <x:v>https://www.wsbaohio.org/team-and-board</x:v>
      </x:c>
      <x:c r="L43" s="10" t="str"/>
      <x:c r="M43" s="10" t="str">
        <x:v>2026-09-30</x:v>
      </x:c>
    </x:row>
    <x:row r="44" ht="102" customHeight="1">
      <x:c r="A44" s="10" t="str">
        <x:v>64e638dc386aa8</x:v>
      </x:c>
      <x:c r="B44" s="10" t="str">
        <x:v>Central Texas Angel Network</x:v>
      </x:c>
      <x:c r="C44" s="10" t="str"/>
      <x:c r="D44" s="10" t="str">
        <x:v>collective_group_or_fund_unless_explicitly_stated</x:v>
      </x:c>
      <x:c r="E44" s="10" t="str">
        <x:v>ACA publicly labels this named organization Network. This establishes a group/fund discovery route, not an individual cash commitment.</x:v>
      </x:c>
      <x:c r="F44" s="10" t="str">
        <x:v>Early-stage innovative scalable ventures; excludes real-estate development, consulting, franchises and lifestyle businesses.</x:v>
      </x:c>
      <x:c r="G44" s="10" t="str">
        <x:v>Unconfirmed route for company equity. No proof of willingness or available $500K cash for this specific offer.</x:v>
      </x:c>
      <x:c r="H44" s="10" t="str">
        <x:v>Preferred equity, capped notes or capped post-money SAFEs; demonstrated customers and defensibility. Individual members typically $10K-$100K; collective average about $550K. The common founder-transfer offer and traditional real-estate fulfillment model need eligibility review. Group/fund route; does not identify a single person able or willing to invest $500K.; No investor commitment, liquid-cash proof, approval of proposed 9.3%/8% terms or guaranteed return has been established.</x:v>
      </x:c>
      <x:c r="I44" s="10" t="str">
        <x:v>https://www.ctan.com/faqs</x:v>
      </x:c>
      <x:c r="J44" s="10" t="str">
        <x:v>https://www.ctan.com/contact-our-team</x:v>
      </x:c>
      <x:c r="K44" s="10" t="str">
        <x:v>https://www.ctan.com/investment-criteria</x:v>
      </x:c>
      <x:c r="L44" s="10" t="str"/>
      <x:c r="M44" s="10" t="str">
        <x:v>2026-09-30</x:v>
      </x:c>
    </x:row>
    <x:row r="45" ht="87" customHeight="1">
      <x:c r="A45" s="10" t="str">
        <x:v>1284164000d416</x:v>
      </x:c>
      <x:c r="B45" s="10" t="str">
        <x:v>Commonwealth Seed Capital</x:v>
      </x:c>
      <x:c r="C45" s="10" t="str"/>
      <x:c r="D45" s="10" t="str">
        <x:v>collective_group_or_fund_unless_explicitly_stated</x:v>
      </x:c>
      <x:c r="E45" s="10" t="str">
        <x:v>ACA publicly labels this named organization Fund. This establishes a group/fund discovery route, not an individual cash commitment.</x:v>
      </x:c>
      <x:c r="F45" s="10" t="str">
        <x:v>Innovation and company-growth capital in Kentucky.</x:v>
      </x:c>
      <x:c r="G45" s="10" t="str">
        <x:v>Unconfirmed route for company equity. No proof of willingness or available $500K cash for this specific offer.</x:v>
      </x:c>
      <x:c r="H45" s="10" t="str">
        <x:v>Headquartered Kentucky, at least50% payroll distributed inKentucky and at least50% assets inKentucky; no available-cash or per-company-ticket proof. Group/fund route; does not identify a single person able or willing to invest $500K.; No investor commitment, liquid-cash proof, approval of proposed 9.3%/8% terms or guaranteed return has been established.</x:v>
      </x:c>
      <x:c r="I45" s="10" t="str">
        <x:v>https://www.kycsc.com/</x:v>
      </x:c>
      <x:c r="J45" s="10" t="str">
        <x:v>https://www.kycsc.com/</x:v>
      </x:c>
      <x:c r="K45" s="10" t="str">
        <x:v>https://www.kycsc.com/faq</x:v>
      </x:c>
      <x:c r="L45" s="10" t="str"/>
      <x:c r="M45" s="10" t="str">
        <x:v>2026-09-30</x:v>
      </x:c>
    </x:row>
    <x:row r="46" ht="102" customHeight="1">
      <x:c r="A46" s="10" t="str">
        <x:v>8db72b975cb4eb</x:v>
      </x:c>
      <x:c r="B46" s="10" t="str">
        <x:v>Dartmouth Angels</x:v>
      </x:c>
      <x:c r="C46" s="10" t="str"/>
      <x:c r="D46" s="10" t="str">
        <x:v>collective_group_or_fund_unless_explicitly_stated</x:v>
      </x:c>
      <x:c r="E46" s="10" t="str">
        <x:v>ACA publicly labels this named organization Network. This establishes a group/fund discovery route, not an individual cash commitment.</x:v>
      </x:c>
      <x:c r="F46" s="10" t="str">
        <x:v>Public ACA angel network; precise operating-company mandate needs confirmation.</x:v>
      </x:c>
      <x:c r="G46" s="10" t="str">
        <x:v>Unconfirmed route for company equity. No proof of willingness or available $500K cash for this specific offer.</x:v>
      </x:c>
      <x:c r="H46" s="10" t="str">
        <x:v>Dartmouth connection; company eligibility and ownership participation require confirmation. Founder eligibility has not been established for 101XVC. Group/fund route; does not identify a single person able or willing to invest $500K.; No investor commitment, liquid-cash proof, approval of proposed 9.3%/8% terms or guaranteed return has been established.; University/network affinity must be checked; membership affiliation is not automatically an applicant requirement.</x:v>
      </x:c>
      <x:c r="I46" s="10" t="str">
        <x:v>https://magnuson.dartmouth.edu/angels/</x:v>
      </x:c>
      <x:c r="J46" s="10" t="str">
        <x:v>https://magnuson.dartmouth.edu/angels/</x:v>
      </x:c>
      <x:c r="K46" s="10" t="str">
        <x:v>https://www.dartmouthangels.com/</x:v>
      </x:c>
      <x:c r="L46" s="10" t="str"/>
      <x:c r="M46" s="10" t="str">
        <x:v>2026-09-30</x:v>
      </x:c>
    </x:row>
    <x:row r="47" ht="87" customHeight="1">
      <x:c r="A47" s="10" t="str">
        <x:v>112e7be9bade99</x:v>
      </x:c>
      <x:c r="B47" s="10" t="str">
        <x:v>eCoast Angels</x:v>
      </x:c>
      <x:c r="C47" s="10" t="str"/>
      <x:c r="D47" s="10" t="str">
        <x:v>collective_group_or_fund_unless_explicitly_stated</x:v>
      </x:c>
      <x:c r="E47" s="10" t="str">
        <x:v>ACA publicly labels this named organization Network. This establishes a group/fund discovery route, not an individual cash commitment.</x:v>
      </x:c>
      <x:c r="F47" s="10" t="str">
        <x:v>Highly scalable early-stage companies with experienced teams and market validation.</x:v>
      </x:c>
      <x:c r="G47" s="10" t="str">
        <x:v>Conditional operating-company equity/syndication route based on published broad mandate or check size. Venture scalability, revenue proof and all eligibility conditions still require diligence.</x:v>
      </x:c>
      <x:c r="H47" s="10" t="str">
        <x:v>Large market opportunity; criteria page describes companies requiring $250K-$2MM at pre-money valuations below $15MM. Homepage check-size banner uses $250K-$3MM. Group/fund route; does not identify a single person able or willing to invest $500K.; No investor commitment, liquid-cash proof, approval of proposed 9.3%/8% terms or guaranteed return has been established.</x:v>
      </x:c>
      <x:c r="I47" s="10" t="str">
        <x:v>https://www.ecoastangels.net/contact</x:v>
      </x:c>
      <x:c r="J47" s="10" t="str">
        <x:v>https://www.ecoastangels.net/_files/ugd/a86dcd_bcdd456aacd14ce58e3a0a9497ee2609.pdf</x:v>
      </x:c>
      <x:c r="K47" s="10" t="str">
        <x:v>https://www.ecoastangels.net/</x:v>
      </x:c>
      <x:c r="L47" s="10" t="str"/>
      <x:c r="M47" s="10" t="str">
        <x:v>2026-09-30</x:v>
      </x:c>
    </x:row>
    <x:row r="48" ht="87" customHeight="1">
      <x:c r="A48" s="10" t="str">
        <x:v>a012aaa7762a64</x:v>
      </x:c>
      <x:c r="B48" s="10" t="str">
        <x:v>Florida Angels</x:v>
      </x:c>
      <x:c r="C48" s="10" t="str"/>
      <x:c r="D48" s="10" t="str">
        <x:v>collective_group_or_fund_unless_explicitly_stated</x:v>
      </x:c>
      <x:c r="E48" s="10" t="str">
        <x:v>ACA publicly labels this named organization Network. This establishes a group/fund discovery route, not an individual cash commitment.</x:v>
      </x:c>
      <x:c r="F48" s="10" t="str">
        <x:v>Public ACA angel network; precise operating-company mandate needs confirmation.</x:v>
      </x:c>
      <x:c r="G48" s="10" t="str">
        <x:v>Unconfirmed route for company equity. No proof of willingness or available $500K cash for this specific offer.</x:v>
      </x:c>
      <x:c r="H48"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x:v>
      </x:c>
      <x:c r="I48" s="10" t="str">
        <x:v>https://floridaangels.club/</x:v>
      </x:c>
      <x:c r="J48" s="10" t="str">
        <x:v>https://floridaangels.club/</x:v>
      </x:c>
      <x:c r="K48" s="10" t="str">
        <x:v>https://angelcapitalassociation.growthzoneapp.com/publicdirectory/Details/florida-angels-4731516</x:v>
      </x:c>
      <x:c r="L48" s="10" t="str"/>
      <x:c r="M48" s="10" t="str">
        <x:v>2026-09-30</x:v>
      </x:c>
    </x:row>
    <x:row r="49" ht="87" customHeight="1">
      <x:c r="A49" s="10" t="str">
        <x:v>f1dde03e80a7af</x:v>
      </x:c>
      <x:c r="B49" s="10" t="str">
        <x:v>Flywheel Angel Network</x:v>
      </x:c>
      <x:c r="C49" s="10" t="str"/>
      <x:c r="D49" s="10" t="str">
        <x:v>collective_group_or_fund_unless_explicitly_stated</x:v>
      </x:c>
      <x:c r="E49" s="10" t="str">
        <x:v>ACA publicly labels this named organization Network. This establishes a group/fund discovery route, not an individual cash commitment.</x:v>
      </x:c>
      <x:c r="F49" s="10" t="str">
        <x:v>Annual pitch competition and angel network for venture-scale companies across industries.</x:v>
      </x:c>
      <x:c r="G49" s="10" t="str">
        <x:v>Unconfirmed route for company equity. No proof of willingness or available $500K cash for this specific offer.</x:v>
      </x:c>
      <x:c r="H49" s="10" t="str">
        <x:v>Raised less than $2MM; finalist event participation. Advertised $150K+ investment award is not a $500K individual check. Group/fund route; does not identify a single person able or willing to invest $500K.; No investor commitment, liquid-cash proof, approval of proposed 9.3%/8% terms or guaranteed return has been established.</x:v>
      </x:c>
      <x:c r="I49" s="10" t="str">
        <x:v>https://www.flywheelconference.com/contact</x:v>
      </x:c>
      <x:c r="J49" s="10" t="str">
        <x:v>https://www.flywheelconference.com/contact</x:v>
      </x:c>
      <x:c r="K49" s="10" t="str">
        <x:v>https://www.flywheelconference.com/apply</x:v>
      </x:c>
      <x:c r="L49" s="10" t="str"/>
      <x:c r="M49" s="10" t="str">
        <x:v>2026-09-30</x:v>
      </x:c>
    </x:row>
    <x:row r="50" ht="87" customHeight="1">
      <x:c r="A50" s="10" t="str">
        <x:v>0befb1b5250b29</x:v>
      </x:c>
      <x:c r="B50" s="10" t="str">
        <x:v>Golden Seeds LLC</x:v>
      </x:c>
      <x:c r="C50" s="10" t="str"/>
      <x:c r="D50" s="10" t="str">
        <x:v>collective_group_or_fund_unless_explicitly_stated</x:v>
      </x:c>
      <x:c r="E50" s="10" t="str">
        <x:v>ACA publicly labels this named organization Network. This establishes a group/fund discovery route, not an individual cash commitment.</x:v>
      </x:c>
      <x:c r="F50" s="10" t="str">
        <x:v>Women-led early-stage US companies across sectors.</x:v>
      </x:c>
      <x:c r="G50" s="10" t="str">
        <x:v>Unconfirmed route for company equity. No proof of willingness or available $500K cash for this specific offer.</x:v>
      </x:c>
      <x:c r="H50" s="10" t="str">
        <x:v>Women-led mandate plus scalable model and strong market potential; do not presume three identified male founders qualify. Group/fund route; does not identify a single person able or willing to invest $500K.; No investor commitment, liquid-cash proof, approval of proposed 9.3%/8% terms or guaranteed return has been established.</x:v>
      </x:c>
      <x:c r="I50" s="10" t="str">
        <x:v>https://www.goldenseeds.com/contact</x:v>
      </x:c>
      <x:c r="J50" s="10" t="str">
        <x:v>https://www.goldenseeds.com/contact</x:v>
      </x:c>
      <x:c r="K50" s="10" t="str">
        <x:v>https://www.goldenseeds.com/investment-criteria-eligibility</x:v>
      </x:c>
      <x:c r="L50" s="10" t="str"/>
      <x:c r="M50" s="10" t="str">
        <x:v>2026-09-30</x:v>
      </x:c>
    </x:row>
    <x:row r="51" ht="87" customHeight="1">
      <x:c r="A51" s="10" t="str">
        <x:v>62ac53a3d730ed</x:v>
      </x:c>
      <x:c r="B51" s="10" t="str">
        <x:v>JumpStart New Jersey Angel Network</x:v>
      </x:c>
      <x:c r="C51" s="10" t="str"/>
      <x:c r="D51" s="10" t="str">
        <x:v>collective_group_or_fund_unless_explicitly_stated</x:v>
      </x:c>
      <x:c r="E51" s="10" t="str">
        <x:v>ACA publicly labels this named organization Network. This establishes a group/fund discovery route, not an individual cash commitment.</x:v>
      </x:c>
      <x:c r="F51" s="10" t="str">
        <x:v>Public ACA angel network; precise operating-company mandate needs confirmation.</x:v>
      </x:c>
      <x:c r="G51" s="10" t="str">
        <x:v>Unconfirmed route for company equity. No proof of willingness or available $500K cash for this specific offer.</x:v>
      </x:c>
      <x:c r="H51"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x:v>
      </x:c>
      <x:c r="I51" s="10" t="str">
        <x:v>https://www.jumpstartnj.org/</x:v>
      </x:c>
      <x:c r="J51" s="10" t="str">
        <x:v>https://www.jumpstartnj.org/</x:v>
      </x:c>
      <x:c r="K51" s="10" t="str">
        <x:v>https://angelcapitalassociation.growthzoneapp.com/publicdirectory/Details/jumpstart-new-jersey-angel-network-3955291</x:v>
      </x:c>
      <x:c r="L51" s="10" t="str"/>
      <x:c r="M51" s="10" t="str">
        <x:v>2026-09-30</x:v>
      </x:c>
    </x:row>
    <x:row r="52" ht="117" customHeight="1">
      <x:c r="A52" s="10" t="str">
        <x:v>790cf014518b60</x:v>
      </x:c>
      <x:c r="B52" s="10" t="str">
        <x:v>Keiretsu Forum - MST</x:v>
      </x:c>
      <x:c r="C52" s="10" t="str"/>
      <x:c r="D52" s="10" t="str">
        <x:v>collective_group_or_fund_unless_explicitly_stated</x:v>
      </x:c>
      <x:c r="E52" s="10" t="str">
        <x:v>ACA publicly labels this named organization Network. This establishes a group/fund discovery route, not an individual cash commitment.</x:v>
      </x:c>
      <x:c r="F52" s="10" t="str">
        <x:v>Multi-industry angel network including real estate; investors make individual decisions with group diligence and syndication.</x:v>
      </x:c>
      <x:c r="G52" s="10" t="str">
        <x:v>Conditional operating-company equity/syndication route based on published broad mandate or check size. Venture scalability, revenue proof and all eligibility conditions still require diligence.</x:v>
      </x:c>
      <x:c r="H52" s="10" t="str">
        <x:v>Preferred equity or post-money SAFE and their term sheet/diligence process; LLC conversion flexibility. Lifestyle businesses can qualify if principal can be returned within2years plus later distributions. Published overall rounds $1MM-$15MM; a $500K raise may be below preference. Common founder-transfer terms need negotiation. Group/fund route; does not identify a single person able or willing to invest $500K.; No investor commitment, liquid-cash proof, approval of proposed 9.3%/8% terms or guaranteed return has been established.</x:v>
      </x:c>
      <x:c r="I52" s="10" t="str">
        <x:v>https://www.keiretsuforum-midatlantic.com/content.aspx?page_id=22&amp;club_id=415290&amp;module_id=377379</x:v>
      </x:c>
      <x:c r="J52" s="10" t="str">
        <x:v>https://www.keiretsuforum-midatlantic.com/</x:v>
      </x:c>
      <x:c r="K52" s="10" t="str">
        <x:v>https://www.keiretsuforum-midatlantic.com/content.aspx?page_id=22&amp;club_id=415290&amp;module_id=411452</x:v>
      </x:c>
      <x:c r="L52" s="10" t="str"/>
      <x:c r="M52" s="10" t="str">
        <x:v>2026-09-30</x:v>
      </x:c>
    </x:row>
    <x:row r="53" ht="102" customHeight="1">
      <x:c r="A53" s="10" t="str">
        <x:v>e1e34b4c0fe5ee</x:v>
      </x:c>
      <x:c r="B53" s="10" t="str">
        <x:v>Keiretsu Forum Northwest</x:v>
      </x:c>
      <x:c r="C53" s="10" t="str"/>
      <x:c r="D53" s="10" t="str">
        <x:v>collective_group_or_fund_unless_explicitly_stated</x:v>
      </x:c>
      <x:c r="E53" s="10" t="str">
        <x:v>ACA publicly labels this named organization Network. This establishes a group/fund discovery route, not an individual cash commitment.</x:v>
      </x:c>
      <x:c r="F53" s="10" t="str">
        <x:v>Current listed website redirects to the Keiretsu Northwest angel network; collective diligence and member investing.</x:v>
      </x:c>
      <x:c r="G53" s="10" t="str">
        <x:v>Unconfirmed route for company equity. No proof of willingness or available $500K cash for this specific offer.</x:v>
      </x:c>
      <x:c r="H53" s="10" t="str">
        <x:v>Verify the historic ACA EcoSystem listing relationship and current company screening criteria; membership contact is not a named investment decision maker. Group/fund route; does not identify a single person able or willing to invest $500K.; No investor commitment, liquid-cash proof, approval of proposed 9.3%/8% terms or guaranteed return has been established.; The ACA listing uses a historic/different name; the published link now resolves to Keiretsu Forum Northwest. Contact details belong to that current network.</x:v>
      </x:c>
      <x:c r="I53" s="10" t="str">
        <x:v>https://www.k4northwest.com/cpages/membership-faq</x:v>
      </x:c>
      <x:c r="J53" s="10" t="str">
        <x:v>https://www.k4northwest.com:443/cpages/contact</x:v>
      </x:c>
      <x:c r="K53" s="10" t="str">
        <x:v>https://www.k4northwest.com/cpages/contact</x:v>
      </x:c>
      <x:c r="L53" s="10" t="str"/>
      <x:c r="M53" s="10" t="str">
        <x:v>2026-09-30</x:v>
      </x:c>
    </x:row>
    <x:row r="54" ht="87" customHeight="1">
      <x:c r="A54" s="10" t="str">
        <x:v>8b31bb840ccda3</x:v>
      </x:c>
      <x:c r="B54" s="10" t="str">
        <x:v>Kern Venture Group</x:v>
      </x:c>
      <x:c r="C54" s="10" t="str"/>
      <x:c r="D54" s="10" t="str">
        <x:v>collective_group_or_fund_unless_explicitly_stated</x:v>
      </x:c>
      <x:c r="E54" s="10" t="str">
        <x:v>ACA publicly labels this named organization Network. This establishes a group/fund discovery route, not an individual cash commitment.</x:v>
      </x:c>
      <x:c r="F54" s="10" t="str">
        <x:v>Public ACA angel network; precise operating-company mandate needs confirmation.</x:v>
      </x:c>
      <x:c r="G54" s="10" t="str">
        <x:v>Unconfirmed route for company equity. No proof of willingness or available $500K cash for this specific offer.</x:v>
      </x:c>
      <x:c r="H54"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x:v>
      </x:c>
      <x:c r="I54" s="10" t="str">
        <x:v>https://www.kernventuregroup.com/contact</x:v>
      </x:c>
      <x:c r="J54" s="10" t="str">
        <x:v>https://www.kernventuregroup.com/contact</x:v>
      </x:c>
      <x:c r="K54" s="10" t="str">
        <x:v>https://angelcapitalassociation.growthzoneapp.com/publicdirectory/Details/kern-venture-group-3955216</x:v>
      </x:c>
      <x:c r="L54" s="10" t="str"/>
      <x:c r="M54" s="10" t="str">
        <x:v>2026-09-30</x:v>
      </x:c>
    </x:row>
    <x:row r="55" ht="87" customHeight="1">
      <x:c r="A55" s="10" t="str">
        <x:v>522c982c5631de</x:v>
      </x:c>
      <x:c r="B55" s="10" t="str">
        <x:v>Landmark Angels Inc</x:v>
      </x:c>
      <x:c r="C55" s="10" t="str"/>
      <x:c r="D55" s="10" t="str">
        <x:v>collective_group_or_fund_unless_explicitly_stated</x:v>
      </x:c>
      <x:c r="E55" s="10" t="str">
        <x:v>ACA publicly labels this named organization Network. This establishes a group/fund discovery route, not an individual cash commitment.</x:v>
      </x:c>
      <x:c r="F55" s="10" t="str">
        <x:v>Multi-sector accredited-investor and family-office network providing equity to early/growth-stage entrepreneurial companies.</x:v>
      </x:c>
      <x:c r="G55" s="10" t="str">
        <x:v>Conditional operating-company equity/syndication route based on published broad mandate or check size. Venture scalability, revenue proof and all eligibility conditions still require diligence.</x:v>
      </x:c>
      <x:c r="H55" s="10" t="str">
        <x:v>An interested single entity considering $250K or more typically leads with additional members; no verified direct $500K commitment. Group/fund route; does not identify a single person able or willing to invest $500K.; No investor commitment, liquid-cash proof, approval of proposed 9.3%/8% terms or guaranteed return has been established.</x:v>
      </x:c>
      <x:c r="I55" s="10" t="str">
        <x:v>https://www.landmarkangels.com/</x:v>
      </x:c>
      <x:c r="J55" s="10" t="str">
        <x:v>https://www.landmarkangels.com/</x:v>
      </x:c>
      <x:c r="K55" s="10" t="str">
        <x:v>https://www.landmarkangels.com/apply</x:v>
      </x:c>
      <x:c r="L55" s="10" t="str"/>
      <x:c r="M55" s="10" t="str">
        <x:v>2026-09-30</x:v>
      </x:c>
    </x:row>
    <x:row r="56" ht="87" customHeight="1">
      <x:c r="A56" s="10" t="str">
        <x:v>3433cd27a18052</x:v>
      </x:c>
      <x:c r="B56" s="10" t="str">
        <x:v>New World Angels Inc</x:v>
      </x:c>
      <x:c r="C56" s="10" t="str"/>
      <x:c r="D56" s="10" t="str">
        <x:v>collective_group_or_fund_unless_explicitly_stated</x:v>
      </x:c>
      <x:c r="E56" s="10" t="str">
        <x:v>ACA publicly labels this named organization Network. This establishes a group/fund discovery route, not an individual cash commitment.</x:v>
      </x:c>
      <x:c r="F56" s="10" t="str">
        <x:v>Sector-agnostic seed/Series A operating-company investment.</x:v>
      </x:c>
      <x:c r="G56" s="10" t="str">
        <x:v>Conditional operating-company equity/syndication route based on published broad mandate or check size. Venture scalability, revenue proof and all eligibility conditions still require diligence.</x:v>
      </x:c>
      <x:c r="H56" s="10" t="str">
        <x:v>Post-revenue traction, defensible advantage, exceptional founders and scalable growth; separate innovation product is only $25K-$50K. Group/fund route; does not identify a single person able or willing to invest $500K.; No investor commitment, liquid-cash proof, approval of proposed 9.3%/8% terms or guaranteed return has been established.</x:v>
      </x:c>
      <x:c r="I56" s="10" t="str">
        <x:v>https://www.newworldangels.com/about-ifii</x:v>
      </x:c>
      <x:c r="J56" s="10" t="str">
        <x:v>https://www.newworldangels.com/</x:v>
      </x:c>
      <x:c r="K56" s="10" t="str">
        <x:v>https://www.newworldangels.com/entrepreneurs</x:v>
      </x:c>
      <x:c r="L56" s="10" t="str"/>
      <x:c r="M56" s="10" t="str">
        <x:v>2026-09-30</x:v>
      </x:c>
    </x:row>
    <x:row r="57" ht="72" customHeight="1">
      <x:c r="A57" s="10" t="str">
        <x:v>7015d285a1726a</x:v>
      </x:c>
      <x:c r="B57" s="10" t="str">
        <x:v>NuFund Venture Group</x:v>
      </x:c>
      <x:c r="C57" s="10" t="str"/>
      <x:c r="D57" s="10" t="str">
        <x:v>collective_group_or_fund_unless_explicitly_stated</x:v>
      </x:c>
      <x:c r="E57" s="10" t="str">
        <x:v>ACA publicly labels this named organization Network. This establishes a group/fund discovery route, not an individual cash commitment.</x:v>
      </x:c>
      <x:c r="F57" s="10" t="str">
        <x:v>Technology innovators through a pooled venture-group fund model.</x:v>
      </x:c>
      <x:c r="G57" s="10" t="str">
        <x:v>Unconfirmed route for company equity. No proof of willingness or available $500K cash for this specific offer.</x:v>
      </x:c>
      <x:c r="H57" s="10" t="str">
        <x:v>Innovation and scalable venture thesis must be demonstrated. Group/fund route; does not identify a single person able or willing to invest $500K.; No investor commitment, liquid-cash proof, approval of proposed 9.3%/8% terms or guaranteed return has been established.</x:v>
      </x:c>
      <x:c r="I57" s="10" t="str">
        <x:v>https://www.nufund.com/contact-us</x:v>
      </x:c>
      <x:c r="J57" s="10" t="str">
        <x:v>https://www.nufund.com/contact-us</x:v>
      </x:c>
      <x:c r="K57" s="10" t="str">
        <x:v>https://www.nufund.com/</x:v>
      </x:c>
      <x:c r="L57" s="10" t="str"/>
      <x:c r="M57" s="10" t="str">
        <x:v>2026-09-30</x:v>
      </x:c>
    </x:row>
    <x:row r="58" ht="87" customHeight="1">
      <x:c r="A58" s="10" t="str">
        <x:v>bebc70a3d3d7bd</x:v>
      </x:c>
      <x:c r="B58" s="10" t="str">
        <x:v>Rio Grande Valley Angel Network</x:v>
      </x:c>
      <x:c r="C58" s="10" t="str"/>
      <x:c r="D58" s="10" t="str">
        <x:v>collective_group_or_fund_unless_explicitly_stated</x:v>
      </x:c>
      <x:c r="E58" s="10" t="str">
        <x:v>ACA publicly labels this named organization Network. This establishes a group/fund discovery route, not an individual cash commitment.</x:v>
      </x:c>
      <x:c r="F58" s="10" t="str">
        <x:v>Public ACA angel network; precise operating-company mandate needs confirmation.</x:v>
      </x:c>
      <x:c r="G58" s="10" t="str">
        <x:v>Unconfirmed route for company equity. No proof of willingness or available $500K cash for this specific offer.</x:v>
      </x:c>
      <x:c r="H58"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x:v>
      </x:c>
      <x:c r="I58" s="10" t="str">
        <x:v>https://www.rgvan.org/</x:v>
      </x:c>
      <x:c r="J58" s="10" t="str">
        <x:v>https://www.rgvan.org/</x:v>
      </x:c>
      <x:c r="K58" s="10" t="str">
        <x:v>https://angelcapitalassociation.growthzoneapp.com/publicdirectory/Details/rio-grande-valley-angel-network-3955278</x:v>
      </x:c>
      <x:c r="L58" s="10" t="str"/>
      <x:c r="M58" s="10" t="str">
        <x:v>2026-09-30</x:v>
      </x:c>
    </x:row>
    <x:row r="59" ht="87" customHeight="1">
      <x:c r="A59" s="10" t="str">
        <x:v>9114862869d8ab</x:v>
      </x:c>
      <x:c r="B59" s="10" t="str">
        <x:v>Robin Hood Ventures</x:v>
      </x:c>
      <x:c r="C59" s="10" t="str"/>
      <x:c r="D59" s="10" t="str">
        <x:v>collective_group_or_fund_unless_explicitly_stated</x:v>
      </x:c>
      <x:c r="E59" s="10" t="str">
        <x:v>ACA publicly labels this named organization Network. This establishes a group/fund discovery route, not an individual cash commitment.</x:v>
      </x:c>
      <x:c r="F59" s="10" t="str">
        <x:v>Public ACA angel network; precise operating-company mandate needs confirmation.</x:v>
      </x:c>
      <x:c r="G59" s="10" t="str">
        <x:v>Unconfirmed route for company equity. No proof of willingness or available $500K cash for this specific offer.</x:v>
      </x:c>
      <x:c r="H59"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x:v>
      </x:c>
      <x:c r="I59" s="10" t="str">
        <x:v>https://www.robinhoodventures.com/contact/</x:v>
      </x:c>
      <x:c r="J59" s="10" t="str">
        <x:v>https://www.robinhoodventures.com/contact/</x:v>
      </x:c>
      <x:c r="K59" s="10" t="str">
        <x:v>https://angelcapitalassociation.growthzoneapp.com/publicdirectory/Details/robin-hood-ventures-3955185</x:v>
      </x:c>
      <x:c r="L59" s="10" t="str"/>
      <x:c r="M59" s="10" t="str">
        <x:v>2026-09-30</x:v>
      </x:c>
    </x:row>
    <x:row r="60" ht="72" customHeight="1">
      <x:c r="A60" s="10" t="str">
        <x:v>ea9c2589f2908c</x:v>
      </x:c>
      <x:c r="B60" s="10" t="str">
        <x:v>Tamiami Angel Fund V</x:v>
      </x:c>
      <x:c r="C60" s="10" t="str"/>
      <x:c r="D60" s="10" t="str">
        <x:v>collective_group_or_fund_unless_explicitly_stated</x:v>
      </x:c>
      <x:c r="E60" s="10" t="str">
        <x:v>ACA publicly labels this named organization Fund. This establishes a group/fund discovery route, not an individual cash commitment.</x:v>
      </x:c>
      <x:c r="F60" s="10" t="str">
        <x:v>Seed and early-stage growth companies; fund participation and larger co-investment through syndication.</x:v>
      </x:c>
      <x:c r="G60" s="10" t="str">
        <x:v>Conditional operating-company equity/syndication route based on published broad mandate or check size. Venture scalability, revenue proof and all eligibility conditions still require diligence.</x:v>
      </x:c>
      <x:c r="H60" s="10" t="str">
        <x:v>Experienced coachable team, unique scalable solution, tangible traction and large market. Group/fund route; does not identify a single person able or willing to invest $500K.; No investor commitment, liquid-cash proof, approval of proposed 9.3%/8% terms or guaranteed return has been established.</x:v>
      </x:c>
      <x:c r="I60" s="10" t="str">
        <x:v>https://www.tamiamiangels.com/contact</x:v>
      </x:c>
      <x:c r="J60" s="10" t="str">
        <x:v>https://www.tamiamiangels.com/contact</x:v>
      </x:c>
      <x:c r="K60" s="10" t="str">
        <x:v>https://www.tamiamiangels.com/forentrepreneurs</x:v>
      </x:c>
      <x:c r="L60" s="10" t="str"/>
      <x:c r="M60" s="10" t="str">
        <x:v>2026-09-30</x:v>
      </x:c>
    </x:row>
    <x:row r="61" ht="57" customHeight="1">
      <x:c r="A61" s="10" t="str">
        <x:v>d1a1b83a3b30a5</x:v>
      </x:c>
      <x:c r="B61" s="10" t="str">
        <x:v>1984 Ventures</x:v>
      </x:c>
      <x:c r="C61" s="10" t="str"/>
      <x:c r="D61" s="10" t="str"/>
      <x:c r="E61" s="10" t="str">
        <x:v>unknown</x:v>
      </x:c>
      <x:c r="F61" s="10" t="str">
        <x:v>Pre-seed first-time founders; AI/software, B2B applications, health and infrastructure.</x:v>
      </x:c>
      <x:c r="G61" s="10" t="str"/>
      <x:c r="H61" s="10" t="str">
        <x:v>Venture-scale differentiated technology mandate; maximum $1M does not establish minimum $500K or current available cash.</x:v>
      </x:c>
      <x:c r="I61" s="10" t="str">
        <x:v>https://1984.vc/about</x:v>
      </x:c>
      <x:c r="J61" s="10" t="str">
        <x:v>https://reports.adviserinfo.sec.gov/reports/CompilationReports/IA_FIRM_SEC_Feed_09_29_2026.xml.gz</x:v>
      </x:c>
      <x:c r="K61" s="10" t="str">
        <x:v>https://1984.vc/about</x:v>
      </x:c>
      <x:c r="L61" s="10" t="str"/>
      <x:c r="M61" s="10" t="str">
        <x:v>2026-09-30</x:v>
      </x:c>
    </x:row>
    <x:row r="62" ht="57" customHeight="1">
      <x:c r="A62" s="10" t="str">
        <x:v>cd7dad80b52e28</x:v>
      </x:c>
      <x:c r="B62" s="10" t="str">
        <x:v>Alpaca VC</x:v>
      </x:c>
      <x:c r="C62" s="10" t="str"/>
      <x:c r="D62" s="10" t="str"/>
      <x:c r="E62" s="10" t="str">
        <x:v>unknown</x:v>
      </x:c>
      <x:c r="F62" s="10" t="str">
        <x:v>Early-stage technology companies reshaping commerce and physical world; real-estate platform distinct.</x:v>
      </x:c>
      <x:c r="G62" s="10" t="str"/>
      <x:c r="H62" s="10" t="str">
        <x:v>Property-sector adjacency is not commitment to a fee-based services executor; check/minority terms unpublished unless official criterion located.</x:v>
      </x:c>
      <x:c r="I62" s="10" t="str">
        <x:v>https://alpaca.vc/</x:v>
      </x:c>
      <x:c r="J62" s="10" t="str">
        <x:v>https://reports.adviserinfo.sec.gov/reports/CompilationReports/IA_FIRM_SEC_Feed_09_29_2026.xml.gz</x:v>
      </x:c>
      <x:c r="K62" s="10" t="str">
        <x:v>https://alpaca.vc/</x:v>
      </x:c>
      <x:c r="L62" s="10" t="str"/>
      <x:c r="M62" s="10" t="str">
        <x:v>2026-09-30</x:v>
      </x:c>
    </x:row>
    <x:row r="63" ht="57" customHeight="1">
      <x:c r="A63" s="10" t="str">
        <x:v>db9b96fde2de50</x:v>
      </x:c>
      <x:c r="B63" s="10" t="str">
        <x:v>Grotech Ventures</x:v>
      </x:c>
      <x:c r="C63" s="10" t="str"/>
      <x:c r="D63" s="10" t="str"/>
      <x:c r="E63" s="10" t="str">
        <x:v>unknown</x:v>
      </x:c>
      <x:c r="F63" s="10" t="str">
        <x:v>Early-stage high-potential technology companies.</x:v>
      </x:c>
      <x:c r="G63" s="10" t="str"/>
      <x:c r="H63" s="10" t="str">
        <x:v>Direct check range/minority confirmation needed on current official criteria; no property-service acceptance assumed.</x:v>
      </x:c>
      <x:c r="I63" s="10" t="str">
        <x:v>https://www.grotech.com/</x:v>
      </x:c>
      <x:c r="J63" s="10" t="str">
        <x:v>https://www.grotech.com/</x:v>
      </x:c>
      <x:c r="K63" s="10" t="str">
        <x:v>https://www.grotech.com/</x:v>
      </x:c>
      <x:c r="L63" s="10" t="str"/>
      <x:c r="M63" s="10" t="str">
        <x:v>2026-09-30</x:v>
      </x:c>
    </x:row>
    <x:row r="64" ht="57" customHeight="1">
      <x:c r="A64" s="10" t="str">
        <x:v>53cf2d932be590</x:v>
      </x:c>
      <x:c r="B64" s="10" t="str">
        <x:v>ICA Fund</x:v>
      </x:c>
      <x:c r="C64" s="10" t="str"/>
      <x:c r="D64" s="10" t="str"/>
      <x:c r="E64" s="10" t="str">
        <x:v>equity_among_structures</x:v>
      </x:c>
      <x:c r="F64" s="10" t="str">
        <x:v>Growth capital including equity, notes and revenue-based finance for established underserved businesses.</x:v>
      </x:c>
      <x:c r="G64" s="10" t="str"/>
      <x:c r="H64" s="10" t="str">
        <x:v>Nonprofit mission investor rather than family office; revenue/location/impact eligibility needs qualification; current size from official page required.</x:v>
      </x:c>
      <x:c r="I64" s="10" t="str">
        <x:v>https://www.ica.fund/form-contact</x:v>
      </x:c>
      <x:c r="J64" s="10" t="str">
        <x:v>https://www.ica.fund/form-contact</x:v>
      </x:c>
      <x:c r="K64" s="10" t="str">
        <x:v>https://www.ica.fund/funding-opportunities</x:v>
      </x:c>
      <x:c r="L64" s="10" t="str"/>
      <x:c r="M64" s="10" t="str">
        <x:v>2026-09-30</x:v>
      </x:c>
    </x:row>
    <x:row r="65" ht="57" customHeight="1">
      <x:c r="A65" s="10" t="str">
        <x:v>7797918de29b68</x:v>
      </x:c>
      <x:c r="B65" s="10" t="str">
        <x:v>MetaProp</x:v>
      </x:c>
      <x:c r="C65" s="10" t="str"/>
      <x:c r="D65" s="10" t="str"/>
      <x:c r="E65" s="10" t="str">
        <x:v>unknown</x:v>
      </x:c>
      <x:c r="F65" s="10" t="str">
        <x:v>Property technology startups; real-estate innovation venture investor.</x:v>
      </x:c>
      <x:c r="G65" s="10" t="str"/>
      <x:c r="H65" s="10" t="str">
        <x:v>PropTech mandate requires technology product; real-estate origination services alone do not establish fit.</x:v>
      </x:c>
      <x:c r="I65" s="10" t="str">
        <x:v>https://www.metaprop.com/contact</x:v>
      </x:c>
      <x:c r="J65" s="10" t="str">
        <x:v>https://reports.adviserinfo.sec.gov/reports/CompilationReports/IA_FIRM_SEC_Feed_09_29_2026.xml.gz</x:v>
      </x:c>
      <x:c r="K65" s="10" t="str">
        <x:v>https://www.metaprop.com/</x:v>
      </x:c>
      <x:c r="L65" s="10" t="str"/>
      <x:c r="M65" s="10" t="str">
        <x:v>2026-09-30</x:v>
      </x:c>
    </x:row>
    <x:row r="66" ht="57" customHeight="1">
      <x:c r="A66" s="10" t="str">
        <x:v>78c8e1e3f2292f</x:v>
      </x:c>
      <x:c r="B66" s="10" t="str">
        <x:v>MEZAS Capital Group</x:v>
      </x:c>
      <x:c r="C66" s="10" t="str"/>
      <x:c r="D66" s="10" t="str"/>
      <x:c r="E66" s="10" t="str">
        <x:v>published_minority_examples</x:v>
      </x:c>
      <x:c r="F66" s="10" t="str">
        <x:v>Private equity, private credit, operating-company investments.</x:v>
      </x:c>
      <x:c r="G66" s="10" t="str"/>
      <x:c r="H66" s="10" t="str">
        <x:v>No discretionary committed-capital fund; individual capital structure must be confirmed; $500K portfolio LP investment is not a corporate check mandate.</x:v>
      </x:c>
      <x:c r="I66" s="10" t="str">
        <x:v>https://www.mezascg.com/</x:v>
      </x:c>
      <x:c r="J66" s="10" t="str">
        <x:v>https://www.mezascg.com/</x:v>
      </x:c>
      <x:c r="K66" s="10" t="str">
        <x:v>https://www.mezascg.com/</x:v>
      </x:c>
      <x:c r="L66" s="10" t="str"/>
      <x:c r="M66" s="10" t="str">
        <x:v>2026-09-30</x:v>
      </x:c>
    </x:row>
    <x:row r="67" ht="57" customHeight="1">
      <x:c r="A67" s="10" t="str">
        <x:v>868b5d8d9eae5b</x:v>
      </x:c>
      <x:c r="B67" s="10" t="str">
        <x:v>Moderne Ventures</x:v>
      </x:c>
      <x:c r="C67" s="10" t="str"/>
      <x:c r="D67" s="10" t="str"/>
      <x:c r="E67" s="10" t="str">
        <x:v>unknown</x:v>
      </x:c>
      <x:c r="F67" s="10" t="str">
        <x:v>Technology firms serving real estate, finance, insurance and home services.</x:v>
      </x:c>
      <x:c r="G67" s="10" t="str"/>
      <x:c r="H67" s="10" t="str">
        <x:v>Venture-scale technology and strategic relevance required; current $500K check unverified.</x:v>
      </x:c>
      <x:c r="I67" s="10" t="str">
        <x:v>https://www.moderneventures.com/contact</x:v>
      </x:c>
      <x:c r="J67" s="10" t="str">
        <x:v>https://reports.adviserinfo.sec.gov/reports/CompilationReports/IA_FIRM_SEC_Feed_09_29_2026.xml.gz</x:v>
      </x:c>
      <x:c r="K67" s="10" t="str">
        <x:v>https://www.moderneventures.com/</x:v>
      </x:c>
      <x:c r="L67" s="10" t="str"/>
      <x:c r="M67" s="10" t="str">
        <x:v>2026-09-30</x:v>
      </x:c>
    </x:row>
    <x:row r="68" ht="87" customHeight="1">
      <x:c r="A68" s="10" t="str">
        <x:v>85f74b955ce492</x:v>
      </x:c>
      <x:c r="B68" s="10" t="str">
        <x:v>Traction Capital</x:v>
      </x:c>
      <x:c r="C68" s="10" t="str"/>
      <x:c r="D68" s="10" t="str"/>
      <x:c r="E68" s="10" t="str">
        <x:v>published_minority_venture</x:v>
      </x:c>
      <x:c r="F68" s="10" t="str">
        <x:v>Minnesota startups and operating companies; minority venture and majority private equity strategies.</x:v>
      </x:c>
      <x:c r="G68" s="10" t="str"/>
      <x:c r="H68" s="10" t="str">
        <x:v>VC $250K–$5M annual revenue screen; Minnesota nexus; minority check from fund one-pager requires current confirmation.; Current first-party website confirms minority VC and $250K–$5M company annual revenue, but does not confirm a direct $500K–$1M check range; earlier externally hosted one-pager was not accepted as current primary proof.</x:v>
      </x:c>
      <x:c r="I68" s="10" t="str">
        <x:v>https://tractioncapital.com/fund-ii/</x:v>
      </x:c>
      <x:c r="J68" s="10" t="str">
        <x:v>https://reports.adviserinfo.sec.gov/reports/CompilationReports/IA_FIRM_STATE_Feed_09_29_2026.xml.gz</x:v>
      </x:c>
      <x:c r="K68" s="10" t="str">
        <x:v>https://tractioncapital.com/fund-ii/</x:v>
      </x:c>
      <x:c r="L68" s="10" t="str"/>
      <x:c r="M68" s="10" t="str">
        <x:v>2026-09-30</x:v>
      </x:c>
    </x:row>
    <x:row r="69" ht="44" customHeight="1">
      <x:c r="A69" s="10" t="str">
        <x:v>28bba8ed5ad76e</x:v>
      </x:c>
      <x:c r="B69" s="10" t="str">
        <x:v>Zahren Capital</x:v>
      </x:c>
      <x:c r="C69" s="10" t="str"/>
      <x:c r="D69" s="10" t="str"/>
      <x:c r="E69" s="10" t="str">
        <x:v>unknown</x:v>
      </x:c>
      <x:c r="F69" s="10" t="str">
        <x:v>Venture-capital investments.</x:v>
      </x:c>
      <x:c r="G69" s="10" t="str"/>
      <x:c r="H69" s="10" t="str">
        <x:v>Sector/geography/current allocation to confirm; average size is not binding ticket range.</x:v>
      </x:c>
      <x:c r="I69" s="10" t="str">
        <x:v>https://zahrencapital.com/contact</x:v>
      </x:c>
      <x:c r="J69" s="10" t="str">
        <x:v>https://zahrencapital.com/contact</x:v>
      </x:c>
      <x:c r="K69" s="10" t="str">
        <x:v>https://zahrencapital.com/</x:v>
      </x:c>
      <x:c r="L69" s="10" t="str"/>
      <x:c r="M69" s="10" t="str">
        <x:v>2026-09-30</x:v>
      </x:c>
    </x:row>
    <x:row r="70" ht="57" customHeight="1">
      <x:c r="A70" s="10" t="str">
        <x:v>ef9d7e54aea4e0</x:v>
      </x:c>
      <x:c r="B70" s="10" t="str">
        <x:v>Belgravia Management</x:v>
      </x:c>
      <x:c r="C70" s="10" t="str"/>
      <x:c r="D70" s="10" t="str"/>
      <x:c r="E70" s="10" t="str">
        <x:v>Official operating-business section expresses a preference for meaningful minority positions.</x:v>
      </x:c>
      <x:c r="F70" s="10" t="str">
        <x:v>Explicit minority operating-company capital across industries/stages plus real-estate experience.</x:v>
      </x:c>
      <x:c r="G70" s="10" t="str">
        <x:v>Explicit minority operating-company capital across industries/stages plus real-estate experience.</x:v>
      </x:c>
      <x:c r="H70" s="10" t="str">
        <x:v>No published ticket size. Meaningful minority ownership may exceed 9.3%; business/projection acceptance and liquidity unverified. Direct ticket/current allocation and exact sector acceptance unpublished.</x:v>
      </x:c>
      <x:c r="I70" s="10" t="str">
        <x:v>https://www.belgravia-management.com/</x:v>
      </x:c>
      <x:c r="J70" s="10" t="str">
        <x:v>https://www.belgravia-management.com/</x:v>
      </x:c>
      <x:c r="K70" s="10" t="str">
        <x:v>https://www.belgravia-management.com/</x:v>
      </x:c>
      <x:c r="L70" s="10" t="str"/>
      <x:c r="M70" s="10" t="str">
        <x:v>2026-09-30</x:v>
      </x:c>
    </x:row>
    <x:row r="71" ht="72" customHeight="1">
      <x:c r="A71" s="10" t="str">
        <x:v>1dfba6d9c0144f</x:v>
      </x:c>
      <x:c r="B71" s="10" t="str">
        <x:v>Broadpeak Investment Group</x:v>
      </x:c>
      <x:c r="C71" s="10" t="str"/>
      <x:c r="D71" s="10" t="str"/>
      <x:c r="E71" s="10" t="str">
        <x:v>Official investment page allows controlling and minority equity structures.</x:v>
      </x:c>
      <x:c r="F71" s="10" t="str">
        <x:v>Published operating-company mandate includes real estate/hospitality, supply chain/logistics and founder-led growth; includes early stages.</x:v>
      </x:c>
      <x:c r="G71" s="10" t="str">
        <x:v>Published operating-company mandate includes real estate/hospitality, supply chain/logistics and founder-led growth; includes early stages.</x:v>
      </x:c>
      <x:c r="H71" s="10" t="str">
        <x:v>No published $500K check range. No confirmation of willingness to finance 101XVC projections or single-customer concentration.</x:v>
      </x:c>
      <x:c r="I71" s="10" t="str">
        <x:v>https://broadpeak.com/</x:v>
      </x:c>
      <x:c r="J71" s="10" t="str">
        <x:v>https://broadpeak.com/</x:v>
      </x:c>
      <x:c r="K71" s="10" t="str">
        <x:v>https://broadpeak.com/investments</x:v>
      </x:c>
      <x:c r="L71" s="10" t="str"/>
      <x:c r="M71" s="10" t="str">
        <x:v>2026-09-30</x:v>
      </x:c>
    </x:row>
    <x:row r="72" ht="57" customHeight="1">
      <x:c r="A72" s="10" t="str">
        <x:v>a2a15349e8d22b</x:v>
      </x:c>
      <x:c r="B72" s="10" t="str">
        <x:v>Chatfield Legacy Investments</x:v>
      </x:c>
      <x:c r="C72" s="10" t="str"/>
      <x:c r="D72" s="10" t="str"/>
      <x:c r="E72" s="10" t="str">
        <x:v>Private equity section explicitly lists minority investments.</x:v>
      </x:c>
      <x:c r="F72" s="10" t="str">
        <x:v>Invests proprietary family capital in private equity and real estate; minority equity is explicitly offered.</x:v>
      </x:c>
      <x:c r="G72" s="10" t="str">
        <x:v>Invests proprietary family capital in private equity and real estate; minority equity is explicitly offered.</x:v>
      </x:c>
      <x:c r="H72" s="10" t="str">
        <x:v>No published ticket size, industry/stage criteria or evidence of acceptance of this operating-company contract.</x:v>
      </x:c>
      <x:c r="I72" s="10" t="str">
        <x:v>https://chatfieldli.com/</x:v>
      </x:c>
      <x:c r="J72" s="10" t="str">
        <x:v>https://chatfieldli.com/</x:v>
      </x:c>
      <x:c r="K72" s="10" t="str">
        <x:v>https://chatfieldli.com/</x:v>
      </x:c>
      <x:c r="L72" s="10" t="str"/>
      <x:c r="M72" s="10" t="str">
        <x:v>2026-09-30</x:v>
      </x:c>
    </x:row>
    <x:row r="73" ht="72" customHeight="1">
      <x:c r="A73" s="10" t="str">
        <x:v>8c73941a73dba4</x:v>
      </x:c>
      <x:c r="B73" s="10" t="str">
        <x:v>Comer Companies</x:v>
      </x:c>
      <x:c r="C73" s="10" t="str"/>
      <x:c r="D73" s="10" t="str"/>
      <x:c r="E73" s="10" t="str">
        <x:v>Passive investment holdings and operating companies published; minority external-company growth policy unconfirmed.</x:v>
      </x:c>
      <x:c r="F73" s="10" t="str">
        <x:v>Actual family investment and operating holdings with public business contacts; exploratory research rather than a verified 101XVC fit.</x:v>
      </x:c>
      <x:c r="G73" s="10" t="str">
        <x:v>Actual family investment and operating holdings with public business contacts; exploratory research rather than a verified 101XVC fit.</x:v>
      </x:c>
      <x:c r="H73" s="10" t="str">
        <x:v>No published check size, minority policy or solicitation of external operating-company equity opportunities. Do not treat as an approved/current-fit financier.</x:v>
      </x:c>
      <x:c r="I73" s="10" t="str">
        <x:v>https://www.comercompanies.com/</x:v>
      </x:c>
      <x:c r="J73" s="10" t="str">
        <x:v>https://www.comercompanies.com/</x:v>
      </x:c>
      <x:c r="K73" s="10" t="str">
        <x:v>https://www.comercompanies.com/</x:v>
      </x:c>
      <x:c r="L73" s="10" t="str"/>
      <x:c r="M73" s="10" t="str">
        <x:v>2026-09-30</x:v>
      </x:c>
    </x:row>
    <x:row r="74" ht="57" customHeight="1">
      <x:c r="A74" s="10" t="str">
        <x:v>1dd7c72dbc6702</x:v>
      </x:c>
      <x:c r="B74" s="10" t="str">
        <x:v>GEA Capital</x:v>
      </x:c>
      <x:c r="C74" s="10" t="str"/>
      <x:c r="D74" s="10" t="str"/>
      <x:c r="E74" s="10" t="str">
        <x:v>Equity mandate published, but minority ownership is not explicitly confirmed.</x:v>
      </x:c>
      <x:c r="F74" s="10" t="str">
        <x:v>Explicit property-management, real-estate, B2B services and SaaS equity criteria; existing building-services investment.</x:v>
      </x:c>
      <x:c r="G74" s="10" t="str">
        <x:v>Explicit property-management, real-estate, B2B services and SaaS equity criteria; existing building-services investment.</x:v>
      </x:c>
      <x:c r="H74" s="10" t="str">
        <x:v>Requires $2M+ revenue, $500K+ cashflow and 15%+ EBITDA margin; minority/check size unverified. Estimated future trial fees do not establish those current thresholds.</x:v>
      </x:c>
      <x:c r="I74" s="10" t="str">
        <x:v>https://www.geacapitalco.com/</x:v>
      </x:c>
      <x:c r="J74" s="10" t="str">
        <x:v>https://www.geacapitalco.com/</x:v>
      </x:c>
      <x:c r="K74" s="10" t="str">
        <x:v>https://www.geacapitalco.com/</x:v>
      </x:c>
      <x:c r="L74" s="10" t="str"/>
      <x:c r="M74" s="10" t="str">
        <x:v>2026-09-30</x:v>
      </x:c>
    </x:row>
    <x:row r="75" ht="57" customHeight="1">
      <x:c r="A75" s="10" t="str">
        <x:v>a726bad381ec92</x:v>
      </x:c>
      <x:c r="B75" s="10" t="str">
        <x:v>Horowitz Group</x:v>
      </x:c>
      <x:c r="C75" s="10" t="str"/>
      <x:c r="D75" s="10" t="str"/>
      <x:c r="E75" s="10" t="str">
        <x:v>Explicit minority equity in US operating businesses.</x:v>
      </x:c>
      <x:c r="F75" s="10" t="str">
        <x:v>Flexible long-term family capital; early investor in CoStar provides an actual real-estate information operating-company precedent.</x:v>
      </x:c>
      <x:c r="G75" s="10" t="str">
        <x:v>Flexible long-term family capital; early investor in CoStar provides an actual real-estate information operating-company precedent.</x:v>
      </x:c>
      <x:c r="H75" s="10" t="str">
        <x:v>No published check size; historic CoStar portfolio is sector precedent only, not evidence of willingness to finance this business.</x:v>
      </x:c>
      <x:c r="I75" s="10" t="str">
        <x:v>https://horowitzgroup.com/</x:v>
      </x:c>
      <x:c r="J75" s="10" t="str">
        <x:v>https://horowitzgroup.com/</x:v>
      </x:c>
      <x:c r="K75" s="10" t="str">
        <x:v>https://horowitzgroup.com/</x:v>
      </x:c>
      <x:c r="L75" s="10" t="str"/>
      <x:c r="M75" s="10" t="str">
        <x:v>2026-09-30</x:v>
      </x:c>
    </x:row>
    <x:row r="76" ht="72" customHeight="1">
      <x:c r="A76" s="10" t="str">
        <x:v>62c04961918939</x:v>
      </x:c>
      <x:c r="B76" s="10" t="str">
        <x:v>LG East Partners</x:v>
      </x:c>
      <x:c r="C76" s="10" t="str">
        <x:v>Ray Gu</x:v>
      </x:c>
      <x:c r="D76" s="10" t="str"/>
      <x:c r="E76" s="10" t="str">
        <x:v>Explicit minority private-equity growth and expansion investments.</x:v>
      </x:c>
      <x:c r="F76" s="10" t="str">
        <x:v>Private equity growth capital and real-estate operating experience; direct published named partner contact.</x:v>
      </x:c>
      <x:c r="G76" s="10" t="str">
        <x:v>Private equity growth capital and real-estate operating experience; direct published named partner contact.</x:v>
      </x:c>
      <x:c r="H76" s="10" t="str">
        <x:v>Targets established businesses. No check range or proof of willingness to finance pre-execution fees. Also offers advisory services; principal-capital role needs confirmation. Firm mandates include established businesses; current early-stage pilot eligibility and $500K check unknown.</x:v>
      </x:c>
      <x:c r="I76" s="10" t="str">
        <x:v>https://lgeast.com/</x:v>
      </x:c>
      <x:c r="J76" s="10" t="str">
        <x:v>https://lgeast.com/</x:v>
      </x:c>
      <x:c r="K76" s="10" t="str">
        <x:v>https://lgeast.com/</x:v>
      </x:c>
      <x:c r="L76" s="10" t="str">
        <x:v>https://lgeast.com/</x:v>
      </x:c>
      <x:c r="M76" s="10" t="str">
        <x:v>2026-09-30</x:v>
      </x:c>
    </x:row>
    <x:row r="77" ht="72" customHeight="1">
      <x:c r="A77" s="10" t="str">
        <x:v>d4bffca6ecd6f2</x:v>
      </x:c>
      <x:c r="B77" s="10" t="str">
        <x:v>Monarch Group</x:v>
      </x:c>
      <x:c r="C77" s="10" t="str"/>
      <x:c r="D77" s="10" t="str"/>
      <x:c r="E77" s="10" t="str">
        <x:v>Official public website application explicitly lists majority or minority equity positions and flexible equity, debt or hybrid structures.</x:v>
      </x:c>
      <x:c r="F77" s="10" t="str">
        <x:v>Explicit business-services, logistics and home-services operating-company equity mandate.</x:v>
      </x:c>
      <x:c r="G77" s="10" t="str">
        <x:v>Explicit business-services, logistics and home-services operating-company equity mandate.</x:v>
      </x:c>
      <x:c r="H77" s="10" t="str">
        <x:v>Requires $5M–$50M annual revenue and $500K–$10M EBITDA; current pre-execution trial forecasts do not satisfy existing-operations criteria. Also consulting/coaching business; principal-capital role and check size unverified.</x:v>
      </x:c>
      <x:c r="I77" s="10" t="str">
        <x:v>https://themonarchgroupllc.com/</x:v>
      </x:c>
      <x:c r="J77" s="10" t="str">
        <x:v>https://themonarchgroupllc.com/</x:v>
      </x:c>
      <x:c r="K77" s="10" t="str">
        <x:v>https://themonarchgroupllc.com/</x:v>
      </x:c>
      <x:c r="L77" s="10" t="str"/>
      <x:c r="M77" s="10" t="str">
        <x:v>2026-09-30</x:v>
      </x:c>
    </x:row>
    <x:row r="78" ht="87" customHeight="1">
      <x:c r="A78" s="10" t="str">
        <x:v>8f31423407b2e0</x:v>
      </x:c>
      <x:c r="B78" s="10" t="str">
        <x:v>Signet LLC</x:v>
      </x:c>
      <x:c r="C78" s="10" t="str">
        <x:v>Anthony Manna</x:v>
      </x:c>
      <x:c r="D78" s="10" t="str"/>
      <x:c r="E78" s="10" t="str">
        <x:v>Direct-equity platform publishes control acquisitions and early-stage startup capital; minority ownership or9.3% equity tolerance not explicitly published.</x:v>
      </x:c>
      <x:c r="F78" s="10" t="str">
        <x:v>Verified principal operating-company investments in business services and real estate, including venture/growth/startup capital; direct published professional principal contact.</x:v>
      </x:c>
      <x:c r="G78" s="10" t="str">
        <x:v>Verified principal operating-company investments in business services and real estate, including venture/growth/startup capital; direct published professional principal contact.</x:v>
      </x:c>
      <x:c r="H78" s="10" t="str">
        <x:v>Published principal equity activity includes control acquisitions; minority/$500K/current pilot acceptance unverified. Separate capital-advisory subsidiary arranges third-party finance and must not be confused with own direct equity. Named professional email and published office number. Minority percentage, ticket size, available cash and current pilot eligibility are not established.</x:v>
      </x:c>
      <x:c r="I78" s="10" t="str">
        <x:v>https://www.signetllc.com/about-us/team/</x:v>
      </x:c>
      <x:c r="J78" s="10" t="str">
        <x:v>https://www.signetllc.com/about-us/team/</x:v>
      </x:c>
      <x:c r="K78" s="10" t="str">
        <x:v>https://www.signetllc.com/industries/capital/</x:v>
      </x:c>
      <x:c r="L78" s="10" t="str">
        <x:v>https://www.signetllc.com/about-us/team/</x:v>
      </x:c>
      <x:c r="M78" s="10" t="str">
        <x:v>2026-09-30</x:v>
      </x:c>
    </x:row>
    <x:row r="79" ht="72" customHeight="1">
      <x:c r="A79" s="10" t="str">
        <x:v>7d94742b9ec684</x:v>
      </x:c>
      <x:c r="B79" s="10" t="str">
        <x:v>Skyrise Properties</x:v>
      </x:c>
      <x:c r="C79" s="10" t="str"/>
      <x:c r="D79" s="10" t="str"/>
      <x:c r="E79" s="10" t="str">
        <x:v>Operating-business investments published, but minority ownership is not explicitly confirmed.</x:v>
      </x:c>
      <x:c r="F79" s="10" t="str">
        <x:v>Proprietary family capital with both property operations and operating-company/venture investments, distinct from a pure property-SPV fund.</x:v>
      </x:c>
      <x:c r="G79" s="10" t="str">
        <x:v>Proprietary family capital with both property operations and operating-company/venture investments, distinct from a pure property-SPV fund.</x:v>
      </x:c>
      <x:c r="H79" s="10" t="str">
        <x:v>No public check range, minority preference or external startup-growth mandate. Its multi-generational holding horizon and current portfolio may differ from service-contract funding; treat as mandate-unconfirmed research.</x:v>
      </x:c>
      <x:c r="I79" s="10" t="str">
        <x:v>https://skyriseproperties.com/contact</x:v>
      </x:c>
      <x:c r="J79" s="10" t="str">
        <x:v>https://skyriseproperties.com/contact</x:v>
      </x:c>
      <x:c r="K79" s="10" t="str">
        <x:v>https://skyriseproperties.com/about</x:v>
      </x:c>
      <x:c r="L79" s="10" t="str"/>
      <x:c r="M79" s="10" t="str">
        <x:v>2026-09-30</x:v>
      </x:c>
    </x:row>
    <x:row r="80" ht="57" customHeight="1">
      <x:c r="A80" s="10" t="str">
        <x:v>cabd04601848b2</x:v>
      </x:c>
      <x:c r="B80" s="10" t="str">
        <x:v>Stella Maris Family Office</x:v>
      </x:c>
      <x:c r="C80" s="10" t="str"/>
      <x:c r="D80" s="10" t="str">
        <x:v>LP equity as labeled by investor; direct corporate equity check unknown.</x:v>
      </x:c>
      <x:c r="E80" s="10" t="str">
        <x:v>Primarily majority ownership, but explicitly entertains minority investments and growth equity.</x:v>
      </x:c>
      <x:c r="F80" s="10" t="str">
        <x:v>Published capital range overlaps $500K; professional services mandate and minority opportunities.</x:v>
      </x:c>
      <x:c r="G80" s="10" t="str">
        <x:v>Published capital range overlaps $500K; professional services mandate and minority opportunities.</x:v>
      </x:c>
      <x:c r="H80" s="10" t="str">
        <x:v>Prefers steady cashflow and platform EBITDA $500K–$4M; 5-year-to-indefinite hold period. Sector/geography and LP-equity scope need confirmation.</x:v>
      </x:c>
      <x:c r="I80" s="10" t="str">
        <x:v>https://stellamarisfo.com/contact-us/</x:v>
      </x:c>
      <x:c r="J80" s="10" t="str">
        <x:v>https://stellamarisfo.com/contact-us/</x:v>
      </x:c>
      <x:c r="K80" s="10" t="str">
        <x:v>https://stellamarisfo.com/our-approach/</x:v>
      </x:c>
      <x:c r="L80" s="10" t="str"/>
      <x:c r="M80" s="10" t="str">
        <x:v>2026-09-30</x:v>
      </x:c>
    </x:row>
    <x:row r="81" ht="72" customHeight="1">
      <x:c r="A81" s="10" t="str">
        <x:v>a75306404ad366</x:v>
      </x:c>
      <x:c r="B81" s="10" t="str">
        <x:v>Sylvanite Capital</x:v>
      </x:c>
      <x:c r="C81" s="10" t="str">
        <x:v>Harrison Stoneham</x:v>
      </x:c>
      <x:c r="D81" s="10" t="str"/>
      <x:c r="E81" s="10" t="str">
        <x:v>Explicit minority partnerships alongside growth support for founder-led service businesses.</x:v>
      </x:c>
      <x:c r="F81" s="10" t="str">
        <x:v>Operating service-company growth equity is closer to the stated operating business than property-collateral lending.</x:v>
      </x:c>
      <x:c r="G81" s="10" t="str">
        <x:v>Operating service-company growth equity is closer to the stated operating business than property-collateral lending.</x:v>
      </x:c>
      <x:c r="H81" s="10" t="str">
        <x:v>No published check size, operating-revenue minimum, or acceptance of a pre-execution single-customer trial; investor liquidity unverified. Published check amount and willingness to purchase 9.3% equity are unknown.</x:v>
      </x:c>
      <x:c r="I81" s="10" t="str">
        <x:v>https://www.sylvanitecapital.com/</x:v>
      </x:c>
      <x:c r="J81" s="10" t="str">
        <x:v>https://www.sylvanitecapital.com/</x:v>
      </x:c>
      <x:c r="K81" s="10" t="str">
        <x:v>https://www.sylvanitecapital.com/</x:v>
      </x:c>
      <x:c r="L81" s="10" t="str">
        <x:v>https://www.sylvanitecapital.com/</x:v>
      </x:c>
      <x:c r="M81" s="10" t="str">
        <x:v>2026-09-30</x:v>
      </x:c>
    </x:row>
    <x:row r="82" ht="72" customHeight="1">
      <x:c r="A82" s="10" t="str">
        <x:v>38f04530bca2b1</x:v>
      </x:c>
      <x:c r="B82" s="10" t="str">
        <x:v>Alpaca VC</x:v>
      </x:c>
      <x:c r="C82" s="10" t="str">
        <x:v>Aubrie Pagano</x:v>
      </x:c>
      <x:c r="D82" s="10" t="str"/>
      <x:c r="E82" s="10" t="str">
        <x:v>venture_equity_structure_inferred_terms_not_confirmed</x:v>
      </x:c>
      <x:c r="F82" s="10" t="str">
        <x:v>real_estate_and_ai_native_venture_conditional</x:v>
      </x:c>
      <x:c r="G82" s="10" t="str">
        <x:v>Corporate general-inquiry inbox and SEC-published mainline, not personal/direct contact.9.3% terms, check amount and fee-based operating model eligibility unknown.</x:v>
      </x:c>
      <x:c r="H82" s="10" t="str">
        <x:v>Corporate general-inquiry inbox and SEC-published mainline, not personal/direct contact.9.3% terms, check amount and fee-based operating model eligibility unknown.</x:v>
      </x:c>
      <x:c r="I82" s="10" t="str">
        <x:v>https://alpaca.vc/team</x:v>
      </x:c>
      <x:c r="J82" s="10" t="str">
        <x:v>https://adviserinfo.sec.gov/firm/summary/317262</x:v>
      </x:c>
      <x:c r="K82" s="10" t="str">
        <x:v>https://alpaca.vc/team</x:v>
      </x:c>
      <x:c r="L82" s="10" t="str">
        <x:v>https://alpaca.vc/team</x:v>
      </x:c>
      <x:c r="M82" s="10" t="str">
        <x:v>2026-09-30</x:v>
      </x:c>
    </x:row>
    <x:row r="83" ht="72" customHeight="1">
      <x:c r="A83" s="10" t="str">
        <x:v>5f326fcf116eb3</x:v>
      </x:c>
      <x:c r="B83" s="10" t="str">
        <x:v>Alpaca VC</x:v>
      </x:c>
      <x:c r="C83" s="10" t="str">
        <x:v>Josh Jagota</x:v>
      </x:c>
      <x:c r="D83" s="10" t="str"/>
      <x:c r="E83" s="10" t="str">
        <x:v>venture_equity_structure_inferred_terms_not_confirmed</x:v>
      </x:c>
      <x:c r="F83" s="10" t="str">
        <x:v>real_estate_and_ai_native_venture_conditional</x:v>
      </x:c>
      <x:c r="G83" s="10" t="str">
        <x:v>Corporate general-inquiry inbox and SEC-published mainline, not personal/direct contact.9.3% terms, check amount and fee-based operating model eligibility unknown.</x:v>
      </x:c>
      <x:c r="H83" s="10" t="str">
        <x:v>Corporate general-inquiry inbox and SEC-published mainline, not personal/direct contact.9.3% terms, check amount and fee-based operating model eligibility unknown.</x:v>
      </x:c>
      <x:c r="I83" s="10" t="str">
        <x:v>https://alpaca.vc/team</x:v>
      </x:c>
      <x:c r="J83" s="10" t="str">
        <x:v>https://adviserinfo.sec.gov/firm/summary/317262</x:v>
      </x:c>
      <x:c r="K83" s="10" t="str">
        <x:v>https://alpaca.vc/team</x:v>
      </x:c>
      <x:c r="L83" s="10" t="str">
        <x:v>https://alpaca.vc/team</x:v>
      </x:c>
      <x:c r="M83" s="10" t="str">
        <x:v>2026-09-30</x:v>
      </x:c>
    </x:row>
    <x:row r="84" ht="72" customHeight="1">
      <x:c r="A84" s="10" t="str">
        <x:v>24aed23bc7b43f</x:v>
      </x:c>
      <x:c r="B84" s="10" t="str">
        <x:v>Alpaca VC</x:v>
      </x:c>
      <x:c r="C84" s="10" t="str">
        <x:v>Ryan Freedman</x:v>
      </x:c>
      <x:c r="D84" s="10" t="str"/>
      <x:c r="E84" s="10" t="str">
        <x:v>venture_equity_structure_inferred_terms_not_confirmed</x:v>
      </x:c>
      <x:c r="F84" s="10" t="str">
        <x:v>real_estate_and_ai_native_venture_conditional</x:v>
      </x:c>
      <x:c r="G84" s="10" t="str">
        <x:v>Corporate general-inquiry inbox and SEC-published mainline, not personal/direct contact.9.3% terms, check amount and fee-based operating model eligibility unknown.</x:v>
      </x:c>
      <x:c r="H84" s="10" t="str">
        <x:v>Corporate general-inquiry inbox and SEC-published mainline, not personal/direct contact.9.3% terms, check amount and fee-based operating model eligibility unknown.</x:v>
      </x:c>
      <x:c r="I84" s="10" t="str">
        <x:v>https://alpaca.vc/team</x:v>
      </x:c>
      <x:c r="J84" s="10" t="str">
        <x:v>https://adviserinfo.sec.gov/firm/summary/317262</x:v>
      </x:c>
      <x:c r="K84" s="10" t="str">
        <x:v>https://alpaca.vc/team</x:v>
      </x:c>
      <x:c r="L84" s="10" t="str">
        <x:v>https://alpaca.vc/team</x:v>
      </x:c>
      <x:c r="M84" s="10" t="str">
        <x:v>2026-09-30</x:v>
      </x:c>
    </x:row>
    <x:row r="85" ht="72" customHeight="1">
      <x:c r="A85" s="10" t="str">
        <x:v>7cd9f9ba57d922</x:v>
      </x:c>
      <x:c r="B85" s="10" t="str">
        <x:v>Belgravia Management</x:v>
      </x:c>
      <x:c r="C85" s="10" t="str">
        <x:v>Artur Debek</x:v>
      </x:c>
      <x:c r="D85" s="10" t="str"/>
      <x:c r="E85" s="10" t="str">
        <x:v>explicit_firm_minority_business_equity_mandate</x:v>
      </x:c>
      <x:c r="F85" s="10" t="str">
        <x:v>minority_operating_company_equity_and_real_estate</x:v>
      </x:c>
      <x:c r="G85" s="10" t="str">
        <x:v>Generic office inbox/mainline, individual email unavailable. No check-size policy published. Recurring revenue and Mid-Atlantic preference may apply.</x:v>
      </x:c>
      <x:c r="H85" s="10" t="str">
        <x:v>Generic office inbox/mainline, individual email unavailable. No check-size policy published. Recurring revenue and Mid-Atlantic preference may apply.</x:v>
      </x:c>
      <x:c r="I85" s="10" t="str">
        <x:v>https://www.belgravia-management.com/</x:v>
      </x:c>
      <x:c r="J85" s="10" t="str">
        <x:v>https://www.belgravia-management.com/</x:v>
      </x:c>
      <x:c r="K85" s="10" t="str">
        <x:v>https://www.belgravia-management.com/</x:v>
      </x:c>
      <x:c r="L85" s="10" t="str">
        <x:v>https://www.belgravia-management.com/</x:v>
      </x:c>
      <x:c r="M85" s="10" t="str">
        <x:v>2026-09-30</x:v>
      </x:c>
    </x:row>
    <x:row r="86" ht="72" customHeight="1">
      <x:c r="A86" s="10" t="str">
        <x:v>5242c3800dfeb0</x:v>
      </x:c>
      <x:c r="B86" s="10" t="str">
        <x:v>Belgravia Management</x:v>
      </x:c>
      <x:c r="C86" s="10" t="str">
        <x:v>Ira Lubert</x:v>
      </x:c>
      <x:c r="D86" s="10" t="str"/>
      <x:c r="E86" s="10" t="str">
        <x:v>explicit_firm_minority_business_equity_mandate</x:v>
      </x:c>
      <x:c r="F86" s="10" t="str">
        <x:v>minority_operating_company_equity_and_real_estate</x:v>
      </x:c>
      <x:c r="G86" s="10" t="str">
        <x:v>Generic office inbox/mainline, individual email unavailable. No check-size policy published. Recurring revenue and Mid-Atlantic preference may apply.</x:v>
      </x:c>
      <x:c r="H86" s="10" t="str">
        <x:v>Generic office inbox/mainline, individual email unavailable. No check-size policy published. Recurring revenue and Mid-Atlantic preference may apply.</x:v>
      </x:c>
      <x:c r="I86" s="10" t="str">
        <x:v>https://www.belgravia-management.com/</x:v>
      </x:c>
      <x:c r="J86" s="10" t="str">
        <x:v>https://www.belgravia-management.com/</x:v>
      </x:c>
      <x:c r="K86" s="10" t="str">
        <x:v>https://www.belgravia-management.com/</x:v>
      </x:c>
      <x:c r="L86" s="10" t="str">
        <x:v>https://www.belgravia-management.com/</x:v>
      </x:c>
      <x:c r="M86" s="10" t="str">
        <x:v>2026-09-30</x:v>
      </x:c>
    </x:row>
    <x:row r="87" ht="72" customHeight="1">
      <x:c r="A87" s="10" t="str">
        <x:v>35a784f234d610</x:v>
      </x:c>
      <x:c r="B87" s="10" t="str">
        <x:v>Belgravia Management</x:v>
      </x:c>
      <x:c r="C87" s="10" t="str">
        <x:v>Jonathan Lubert</x:v>
      </x:c>
      <x:c r="D87" s="10" t="str"/>
      <x:c r="E87" s="10" t="str">
        <x:v>explicit_firm_minority_business_equity_mandate</x:v>
      </x:c>
      <x:c r="F87" s="10" t="str">
        <x:v>minority_operating_company_equity_and_real_estate</x:v>
      </x:c>
      <x:c r="G87" s="10" t="str">
        <x:v>Generic office inbox/mainline, individual email unavailable. No check-size policy published. Recurring revenue and Mid-Atlantic preference may apply.</x:v>
      </x:c>
      <x:c r="H87" s="10" t="str">
        <x:v>Generic office inbox/mainline, individual email unavailable. No check-size policy published. Recurring revenue and Mid-Atlantic preference may apply.</x:v>
      </x:c>
      <x:c r="I87" s="10" t="str">
        <x:v>https://www.belgravia-management.com/</x:v>
      </x:c>
      <x:c r="J87" s="10" t="str">
        <x:v>https://www.belgravia-management.com/</x:v>
      </x:c>
      <x:c r="K87" s="10" t="str">
        <x:v>https://www.belgravia-management.com/</x:v>
      </x:c>
      <x:c r="L87" s="10" t="str">
        <x:v>https://www.belgravia-management.com/</x:v>
      </x:c>
      <x:c r="M87" s="10" t="str">
        <x:v>2026-09-30</x:v>
      </x:c>
    </x:row>
    <x:row r="88" ht="72" customHeight="1">
      <x:c r="A88" s="10" t="str">
        <x:v>11b455d8a177f3</x:v>
      </x:c>
      <x:c r="B88" s="10" t="str">
        <x:v>Belgravia Management</x:v>
      </x:c>
      <x:c r="C88" s="10" t="str">
        <x:v>Michael Wigrizer</x:v>
      </x:c>
      <x:c r="D88" s="10" t="str"/>
      <x:c r="E88" s="10" t="str">
        <x:v>explicit_firm_minority_business_equity_mandate</x:v>
      </x:c>
      <x:c r="F88" s="10" t="str">
        <x:v>minority_operating_company_equity_and_real_estate</x:v>
      </x:c>
      <x:c r="G88" s="10" t="str">
        <x:v>Generic office inbox/mainline, individual email unavailable. No check-size policy published. Recurring revenue and Mid-Atlantic preference may apply.</x:v>
      </x:c>
      <x:c r="H88" s="10" t="str">
        <x:v>Generic office inbox/mainline, individual email unavailable. No check-size policy published. Recurring revenue and Mid-Atlantic preference may apply.</x:v>
      </x:c>
      <x:c r="I88" s="10" t="str">
        <x:v>https://www.belgravia-management.com/</x:v>
      </x:c>
      <x:c r="J88" s="10" t="str">
        <x:v>https://www.belgravia-management.com/</x:v>
      </x:c>
      <x:c r="K88" s="10" t="str">
        <x:v>https://www.belgravia-management.com/</x:v>
      </x:c>
      <x:c r="L88" s="10" t="str">
        <x:v>https://www.belgravia-management.com/</x:v>
      </x:c>
      <x:c r="M88" s="10" t="str">
        <x:v>2026-09-30</x:v>
      </x:c>
    </x:row>
    <x:row r="89" ht="72" customHeight="1">
      <x:c r="A89" s="10" t="str">
        <x:v>6b49b709589e82</x:v>
      </x:c>
      <x:c r="B89" s="10" t="str">
        <x:v>Broadpeak Investment Group</x:v>
      </x:c>
      <x:c r="C89" s="10" t="str">
        <x:v>Tariq Farid</x:v>
      </x:c>
      <x:c r="D89" s="10" t="str"/>
      <x:c r="E89" s="10" t="str">
        <x:v>explicit_firm_minority_business_equity_mandate</x:v>
      </x:c>
      <x:c r="F89" s="10" t="str">
        <x:v>operator_led_minority_services_and_fulfillment_strong_thematic_fit</x:v>
      </x:c>
      <x:c r="G89" s="10" t="str">
        <x:v>Corporate routing inbox/mainline, not direct individual. Proof of concept, check amount, cash and proposed minority terms require diligence.</x:v>
      </x:c>
      <x:c r="H89" s="10" t="str">
        <x:v>Corporate routing inbox/mainline, not direct individual. Proof of concept, check amount, cash and proposed minority terms require diligence.</x:v>
      </x:c>
      <x:c r="I89" s="10" t="str">
        <x:v>https://broadpeak.com/</x:v>
      </x:c>
      <x:c r="J89" s="10" t="str">
        <x:v>https://broadpeak.com/</x:v>
      </x:c>
      <x:c r="K89" s="10" t="str">
        <x:v>https://broadpeak.com/</x:v>
      </x:c>
      <x:c r="L89" s="10" t="str">
        <x:v>https://broadpeak.com/</x:v>
      </x:c>
      <x:c r="M89" s="10" t="str">
        <x:v>2026-09-30</x:v>
      </x:c>
    </x:row>
    <x:row r="90" ht="57" customHeight="1">
      <x:c r="A90" s="10" t="str">
        <x:v>67c97c716e20ec</x:v>
      </x:c>
      <x:c r="B90" s="10" t="str">
        <x:v>CitySide Ventures / Birmingham Angels</x:v>
      </x:c>
      <x:c r="C90" s="10" t="str">
        <x:v>Doron York</x:v>
      </x:c>
      <x:c r="D90" s="10" t="str"/>
      <x:c r="E90" s="10" t="str">
        <x:v>unconfirmed</x:v>
      </x:c>
      <x:c r="F90" s="10" t="str">
        <x:v>seed_business_services_software_thematic_fit</x:v>
      </x:c>
      <x:c r="G90" s="10" t="str">
        <x:v>Michigan focus. Represents firm and syndication; personal investment amount/liquidity not established.</x:v>
      </x:c>
      <x:c r="H90" s="10" t="str">
        <x:v>Michigan focus. Represents firm and syndication; personal investment amount/liquidity not established.</x:v>
      </x:c>
      <x:c r="I90" s="10" t="str">
        <x:v>https://birminghamvp.com/teams/doron-york/</x:v>
      </x:c>
      <x:c r="J90" s="10" t="str">
        <x:v>https://birminghamvp.com/teams/doron-york/</x:v>
      </x:c>
      <x:c r="K90" s="10" t="str">
        <x:v>https://citysidevc.com/event/copy-of-birmingham-angels-investors-monthly-deal-tank-june-2026</x:v>
      </x:c>
      <x:c r="L90" s="10" t="str">
        <x:v>https://birminghamvp.com/teams/doron-york/</x:v>
      </x:c>
      <x:c r="M90" s="10" t="str">
        <x:v>2026-09-30</x:v>
      </x:c>
    </x:row>
    <x:row r="91" ht="72" customHeight="1">
      <x:c r="A91" s="10" t="str">
        <x:v>07939f97892cfd</x:v>
      </x:c>
      <x:c r="B91" s="10" t="str">
        <x:v>Detroit Venture Partners</x:v>
      </x:c>
      <x:c r="C91" s="10" t="str">
        <x:v>Dan Gilbert</x:v>
      </x:c>
      <x:c r="D91" s="10" t="str"/>
      <x:c r="E91" s="10" t="str">
        <x:v>venture_equity_structure_inferred_terms_not_confirmed</x:v>
      </x:c>
      <x:c r="F91" s="10" t="str">
        <x:v>real_estate_affiliated_seed_venture_conditional</x:v>
      </x:c>
      <x:c r="G91" s="10" t="str">
        <x:v>Generic firm inbox and SEC mainline, not direct individual contact. Detroit mandate and investable software model require qualification. No current first-party ticket found.</x:v>
      </x:c>
      <x:c r="H91" s="10" t="str">
        <x:v>Generic firm inbox and SEC mainline, not direct individual contact. Detroit mandate and investable software model require qualification. No current first-party ticket found.</x:v>
      </x:c>
      <x:c r="I91" s="10" t="str">
        <x:v>https://detroit.vc/</x:v>
      </x:c>
      <x:c r="J91" s="10" t="str">
        <x:v>https://adviserinfo.sec.gov/firm/summary/281114</x:v>
      </x:c>
      <x:c r="K91" s="10" t="str">
        <x:v>https://detroit.vc/</x:v>
      </x:c>
      <x:c r="L91" s="10" t="str">
        <x:v>https://detroit.vc/</x:v>
      </x:c>
      <x:c r="M91" s="10" t="str">
        <x:v>2026-09-30</x:v>
      </x:c>
    </x:row>
    <x:row r="92" ht="72" customHeight="1">
      <x:c r="A92" s="10" t="str">
        <x:v>22dff98656029a</x:v>
      </x:c>
      <x:c r="B92" s="10" t="str">
        <x:v>Detroit Venture Partners</x:v>
      </x:c>
      <x:c r="C92" s="10" t="str">
        <x:v>Jake Cohen</x:v>
      </x:c>
      <x:c r="D92" s="10" t="str"/>
      <x:c r="E92" s="10" t="str">
        <x:v>venture_equity_structure_inferred_terms_not_confirmed</x:v>
      </x:c>
      <x:c r="F92" s="10" t="str">
        <x:v>real_estate_affiliated_seed_venture_conditional</x:v>
      </x:c>
      <x:c r="G92" s="10" t="str">
        <x:v>Generic firm inbox and SEC mainline, not direct individual contact. Detroit mandate and investable software model require qualification. No current first-party ticket found.</x:v>
      </x:c>
      <x:c r="H92" s="10" t="str">
        <x:v>Generic firm inbox and SEC mainline, not direct individual contact. Detroit mandate and investable software model require qualification. No current first-party ticket found.</x:v>
      </x:c>
      <x:c r="I92" s="10" t="str">
        <x:v>https://detroit.vc/</x:v>
      </x:c>
      <x:c r="J92" s="10" t="str">
        <x:v>https://adviserinfo.sec.gov/firm/summary/281114</x:v>
      </x:c>
      <x:c r="K92" s="10" t="str">
        <x:v>https://detroit.vc/</x:v>
      </x:c>
      <x:c r="L92" s="10" t="str">
        <x:v>https://detroit.vc/</x:v>
      </x:c>
      <x:c r="M92" s="10" t="str">
        <x:v>2026-09-30</x:v>
      </x:c>
    </x:row>
    <x:row r="93" ht="72" customHeight="1">
      <x:c r="A93" s="10" t="str">
        <x:v>14e8fc365a0350</x:v>
      </x:c>
      <x:c r="B93" s="10" t="str">
        <x:v>Detroit Venture Partners</x:v>
      </x:c>
      <x:c r="C93" s="10" t="str">
        <x:v>Jared Stasik</x:v>
      </x:c>
      <x:c r="D93" s="10" t="str"/>
      <x:c r="E93" s="10" t="str">
        <x:v>venture_equity_structure_inferred_terms_not_confirmed</x:v>
      </x:c>
      <x:c r="F93" s="10" t="str">
        <x:v>real_estate_affiliated_seed_venture_conditional</x:v>
      </x:c>
      <x:c r="G93" s="10" t="str">
        <x:v>Generic firm inbox and SEC mainline, not direct individual contact. Detroit mandate and investable software model require qualification. No current first-party ticket found.</x:v>
      </x:c>
      <x:c r="H93" s="10" t="str">
        <x:v>Generic firm inbox and SEC mainline, not direct individual contact. Detroit mandate and investable software model require qualification. No current first-party ticket found.</x:v>
      </x:c>
      <x:c r="I93" s="10" t="str">
        <x:v>https://detroit.vc/</x:v>
      </x:c>
      <x:c r="J93" s="10" t="str">
        <x:v>https://adviserinfo.sec.gov/firm/summary/281114</x:v>
      </x:c>
      <x:c r="K93" s="10" t="str">
        <x:v>https://detroit.vc/</x:v>
      </x:c>
      <x:c r="L93" s="10" t="str">
        <x:v>https://detroit.vc/</x:v>
      </x:c>
      <x:c r="M93" s="10" t="str">
        <x:v>2026-09-30</x:v>
      </x:c>
    </x:row>
    <x:row r="94" ht="72" customHeight="1">
      <x:c r="A94" s="10" t="str">
        <x:v>d2ed2a287772c8</x:v>
      </x:c>
      <x:c r="B94" s="10" t="str">
        <x:v>eLab Ventures</x:v>
      </x:c>
      <x:c r="C94" s="10" t="str">
        <x:v>Bob Stefanski</x:v>
      </x:c>
      <x:c r="D94" s="10" t="str"/>
      <x:c r="E94" s="10" t="str">
        <x:v>venture_equity_structure_inferred_terms_not_confirmed</x:v>
      </x:c>
      <x:c r="F94" s="10" t="str">
        <x:v>ai_native_venture_model_conditional</x:v>
      </x:c>
      <x:c r="G94" s="10" t="str">
        <x:v>Generic firm inbox/mainline, not individual email. Published check size and minority percentage not confirmed; substantial defensible AI product needed.</x:v>
      </x:c>
      <x:c r="H94" s="10" t="str">
        <x:v>Generic firm inbox/mainline, not individual email. Published check size and minority percentage not confirmed; substantial defensible AI product needed.</x:v>
      </x:c>
      <x:c r="I94" s="10" t="str">
        <x:v>https://www.elabvc.com/</x:v>
      </x:c>
      <x:c r="J94" s="10" t="str">
        <x:v>https://www.elabvc.com/</x:v>
      </x:c>
      <x:c r="K94" s="10" t="str">
        <x:v>https://www.elabvc.com/</x:v>
      </x:c>
      <x:c r="L94" s="10" t="str">
        <x:v>https://www.elabvc.com/team</x:v>
      </x:c>
      <x:c r="M94" s="10" t="str">
        <x:v>2026-09-30</x:v>
      </x:c>
    </x:row>
    <x:row r="95" ht="72" customHeight="1">
      <x:c r="A95" s="10" t="str">
        <x:v>0a79d71e538ed8</x:v>
      </x:c>
      <x:c r="B95" s="10" t="str">
        <x:v>eLab Ventures</x:v>
      </x:c>
      <x:c r="C95" s="10" t="str">
        <x:v>Doug Neal</x:v>
      </x:c>
      <x:c r="D95" s="10" t="str"/>
      <x:c r="E95" s="10" t="str">
        <x:v>venture_equity_structure_inferred_terms_not_confirmed</x:v>
      </x:c>
      <x:c r="F95" s="10" t="str">
        <x:v>ai_native_venture_model_conditional</x:v>
      </x:c>
      <x:c r="G95" s="10" t="str">
        <x:v>Generic firm inbox/mainline, not individual email. Published check size and minority percentage not confirmed; substantial defensible AI product needed.</x:v>
      </x:c>
      <x:c r="H95" s="10" t="str">
        <x:v>Generic firm inbox/mainline, not individual email. Published check size and minority percentage not confirmed; substantial defensible AI product needed.</x:v>
      </x:c>
      <x:c r="I95" s="10" t="str">
        <x:v>https://www.elabvc.com/</x:v>
      </x:c>
      <x:c r="J95" s="10" t="str">
        <x:v>https://www.elabvc.com/</x:v>
      </x:c>
      <x:c r="K95" s="10" t="str">
        <x:v>https://www.elabvc.com/</x:v>
      </x:c>
      <x:c r="L95" s="10" t="str">
        <x:v>https://www.elabvc.com/team</x:v>
      </x:c>
      <x:c r="M95" s="10" t="str">
        <x:v>2026-09-30</x:v>
      </x:c>
    </x:row>
    <x:row r="96" ht="72" customHeight="1">
      <x:c r="A96" s="10" t="str">
        <x:v>86560001ef0488</x:v>
      </x:c>
      <x:c r="B96" s="10" t="str">
        <x:v>eLab Ventures</x:v>
      </x:c>
      <x:c r="C96" s="10" t="str">
        <x:v>Paul Brown</x:v>
      </x:c>
      <x:c r="D96" s="10" t="str"/>
      <x:c r="E96" s="10" t="str">
        <x:v>venture_equity_structure_inferred_terms_not_confirmed</x:v>
      </x:c>
      <x:c r="F96" s="10" t="str">
        <x:v>ai_native_venture_model_conditional</x:v>
      </x:c>
      <x:c r="G96" s="10" t="str">
        <x:v>Generic firm inbox/mainline, not individual email. Published check size and minority percentage not confirmed; substantial defensible AI product needed.</x:v>
      </x:c>
      <x:c r="H96" s="10" t="str">
        <x:v>Generic firm inbox/mainline, not individual email. Published check size and minority percentage not confirmed; substantial defensible AI product needed.</x:v>
      </x:c>
      <x:c r="I96" s="10" t="str">
        <x:v>https://www.elabvc.com/</x:v>
      </x:c>
      <x:c r="J96" s="10" t="str">
        <x:v>https://www.elabvc.com/</x:v>
      </x:c>
      <x:c r="K96" s="10" t="str">
        <x:v>https://www.elabvc.com/</x:v>
      </x:c>
      <x:c r="L96" s="10" t="str">
        <x:v>https://www.elabvc.com/team</x:v>
      </x:c>
      <x:c r="M96" s="10" t="str">
        <x:v>2026-09-30</x:v>
      </x:c>
    </x:row>
    <x:row r="97" ht="72" customHeight="1">
      <x:c r="A97" s="10" t="str">
        <x:v>a6d85d6af74c21</x:v>
      </x:c>
      <x:c r="B97" s="10" t="str">
        <x:v>Grand Ventures</x:v>
      </x:c>
      <x:c r="C97" s="10" t="str">
        <x:v>Nathan Owen</x:v>
      </x:c>
      <x:c r="D97" s="10" t="str"/>
      <x:c r="E97" s="10" t="str">
        <x:v>venture_equity_structure_inferred_terms_not_confirmed</x:v>
      </x:c>
      <x:c r="F97" s="10" t="str">
        <x:v>fintech_or_b2b_software_seed_conditional</x:v>
      </x:c>
      <x:c r="G97" s="10" t="str">
        <x:v>General inquiry corporate email, not individual contact. SEC business mainline. No current ticket policy found; 101XVC operating-model eligibility requires qualification.</x:v>
      </x:c>
      <x:c r="H97" s="10" t="str">
        <x:v>General inquiry corporate email, not individual contact. SEC business mainline. No current ticket policy found; 101XVC operating-model eligibility requires qualification.</x:v>
      </x:c>
      <x:c r="I97" s="10" t="str">
        <x:v>https://grandvcp.com/lets-connect/</x:v>
      </x:c>
      <x:c r="J97" s="10" t="str">
        <x:v>https://adviserinfo.sec.gov/firm/summary/336696</x:v>
      </x:c>
      <x:c r="K97" s="10" t="str">
        <x:v>https://grandvcp.com/</x:v>
      </x:c>
      <x:c r="L97" s="10" t="str">
        <x:v>https://grandvcp.com/the-team/</x:v>
      </x:c>
      <x:c r="M97" s="10" t="str">
        <x:v>2026-09-30</x:v>
      </x:c>
    </x:row>
    <x:row r="98" ht="72" customHeight="1">
      <x:c r="A98" s="10" t="str">
        <x:v>b0005e1b7072b1</x:v>
      </x:c>
      <x:c r="B98" s="10" t="str">
        <x:v>Grand Ventures</x:v>
      </x:c>
      <x:c r="C98" s="10" t="str">
        <x:v>Tim Streit</x:v>
      </x:c>
      <x:c r="D98" s="10" t="str"/>
      <x:c r="E98" s="10" t="str">
        <x:v>venture_equity_structure_inferred_terms_not_confirmed</x:v>
      </x:c>
      <x:c r="F98" s="10" t="str">
        <x:v>fintech_or_b2b_software_seed_conditional</x:v>
      </x:c>
      <x:c r="G98" s="10" t="str">
        <x:v>General inquiry corporate email, not individual contact. SEC business mainline. No current ticket policy found; 101XVC operating-model eligibility requires qualification.</x:v>
      </x:c>
      <x:c r="H98" s="10" t="str">
        <x:v>General inquiry corporate email, not individual contact. SEC business mainline. No current ticket policy found; 101XVC operating-model eligibility requires qualification.</x:v>
      </x:c>
      <x:c r="I98" s="10" t="str">
        <x:v>https://grandvcp.com/lets-connect/</x:v>
      </x:c>
      <x:c r="J98" s="10" t="str">
        <x:v>https://adviserinfo.sec.gov/firm/summary/336696</x:v>
      </x:c>
      <x:c r="K98" s="10" t="str">
        <x:v>https://grandvcp.com/</x:v>
      </x:c>
      <x:c r="L98" s="10" t="str">
        <x:v>https://grandvcp.com/the-team/</x:v>
      </x:c>
      <x:c r="M98" s="10" t="str">
        <x:v>2026-09-30</x:v>
      </x:c>
    </x:row>
    <x:row r="99" ht="57" customHeight="1">
      <x:c r="A99" s="10" t="str">
        <x:v>9678f83d88bf99</x:v>
      </x:c>
      <x:c r="B99" s="10" t="str">
        <x:v>Horowitz Group</x:v>
      </x:c>
      <x:c r="C99" s="10" t="str">
        <x:v>Adam Horowitz</x:v>
      </x:c>
      <x:c r="D99" s="10" t="str"/>
      <x:c r="E99" s="10" t="str">
        <x:v>explicit_firm_minority_business_equity_mandate</x:v>
      </x:c>
      <x:c r="F99" s="10" t="str">
        <x:v>operating_company_minority_equity_and_real_estate</x:v>
      </x:c>
      <x:c r="G99" s="10" t="str">
        <x:v>General firm routing; individual email not published. Check amount and single-customer contract eligibility unconfirmed.</x:v>
      </x:c>
      <x:c r="H99" s="10" t="str">
        <x:v>General firm routing; individual email not published. Check amount and single-customer contract eligibility unconfirmed.</x:v>
      </x:c>
      <x:c r="I99" s="10" t="str">
        <x:v>https://horowitzgroup.com/</x:v>
      </x:c>
      <x:c r="J99" s="10" t="str">
        <x:v>https://horowitzgroup.com/</x:v>
      </x:c>
      <x:c r="K99" s="10" t="str">
        <x:v>https://horowitzgroup.com/</x:v>
      </x:c>
      <x:c r="L99" s="10" t="str">
        <x:v>https://horowitzgroup.com/</x:v>
      </x:c>
      <x:c r="M99" s="10" t="str">
        <x:v>2026-09-30</x:v>
      </x:c>
    </x:row>
    <x:row r="100" ht="57" customHeight="1">
      <x:c r="A100" s="10" t="str">
        <x:v>e9bc00f19689b7</x:v>
      </x:c>
      <x:c r="B100" s="10" t="str">
        <x:v>Horowitz Group</x:v>
      </x:c>
      <x:c r="C100" s="10" t="str">
        <x:v>Matt Cornue</x:v>
      </x:c>
      <x:c r="D100" s="10" t="str"/>
      <x:c r="E100" s="10" t="str">
        <x:v>explicit_firm_minority_business_equity_mandate</x:v>
      </x:c>
      <x:c r="F100" s="10" t="str">
        <x:v>operating_company_minority_equity_and_real_estate</x:v>
      </x:c>
      <x:c r="G100" s="10" t="str">
        <x:v>General firm routing; individual email not published. Check amount and single-customer contract eligibility unconfirmed.</x:v>
      </x:c>
      <x:c r="H100" s="10" t="str">
        <x:v>General firm routing; individual email not published. Check amount and single-customer contract eligibility unconfirmed.</x:v>
      </x:c>
      <x:c r="I100" s="10" t="str">
        <x:v>https://horowitzgroup.com/</x:v>
      </x:c>
      <x:c r="J100" s="10" t="str">
        <x:v>https://horowitzgroup.com/</x:v>
      </x:c>
      <x:c r="K100" s="10" t="str">
        <x:v>https://horowitzgroup.com/</x:v>
      </x:c>
      <x:c r="L100" s="10" t="str">
        <x:v>https://horowitzgroup.com/</x:v>
      </x:c>
      <x:c r="M100" s="10" t="str">
        <x:v>2026-09-30</x:v>
      </x:c>
    </x:row>
    <x:row r="101" ht="72" customHeight="1">
      <x:c r="A101" s="10" t="str">
        <x:v>2f9a6cb9531448</x:v>
      </x:c>
      <x:c r="B101" s="10" t="str">
        <x:v>Mercury Fund</x:v>
      </x:c>
      <x:c r="C101" s="10" t="str">
        <x:v>Adrian Fortino</x:v>
      </x:c>
      <x:c r="D101" s="10" t="str"/>
      <x:c r="E101" s="10" t="str">
        <x:v>venture_equity_structure_inferred_terms_not_confirmed</x:v>
      </x:c>
      <x:c r="F101" s="10" t="str">
        <x:v>vertical_software_operator_venture_conditional</x:v>
      </x:c>
      <x:c r="G101" s="10" t="str">
        <x:v>Corporate inquiry inbox/mainline; no direct individual email or current check range found. Startup technology and venture growth needed; fee-based service contract eligibility unconfirmed.</x:v>
      </x:c>
      <x:c r="H101" s="10" t="str">
        <x:v>Corporate inquiry inbox/mainline; no direct individual email or current check range found. Startup technology and venture growth needed; fee-based service contract eligibility unconfirmed.</x:v>
      </x:c>
      <x:c r="I101" s="10" t="str">
        <x:v>https://www.mercuryfund.com/contact</x:v>
      </x:c>
      <x:c r="J101" s="10" t="str">
        <x:v>https://www.mercuryfund.com/contact</x:v>
      </x:c>
      <x:c r="K101" s="10" t="str">
        <x:v>https://www.mercuryfund.com/team</x:v>
      </x:c>
      <x:c r="L101" s="10" t="str">
        <x:v>https://www.mercuryfund.com/team</x:v>
      </x:c>
      <x:c r="M101" s="10" t="str">
        <x:v>2026-09-30</x:v>
      </x:c>
    </x:row>
    <x:row r="102" ht="72" customHeight="1">
      <x:c r="A102" s="10" t="str">
        <x:v>5e263a40bfb065</x:v>
      </x:c>
      <x:c r="B102" s="10" t="str">
        <x:v>Mercury Fund</x:v>
      </x:c>
      <x:c r="C102" s="10" t="str">
        <x:v>Aziz Gilani</x:v>
      </x:c>
      <x:c r="D102" s="10" t="str"/>
      <x:c r="E102" s="10" t="str">
        <x:v>venture_equity_structure_inferred_terms_not_confirmed</x:v>
      </x:c>
      <x:c r="F102" s="10" t="str">
        <x:v>vertical_software_operator_venture_conditional</x:v>
      </x:c>
      <x:c r="G102" s="10" t="str">
        <x:v>Corporate inquiry inbox/mainline; no direct individual email or current check range found. Startup technology and venture growth needed; fee-based service contract eligibility unconfirmed.</x:v>
      </x:c>
      <x:c r="H102" s="10" t="str">
        <x:v>Corporate inquiry inbox/mainline; no direct individual email or current check range found. Startup technology and venture growth needed; fee-based service contract eligibility unconfirmed.</x:v>
      </x:c>
      <x:c r="I102" s="10" t="str">
        <x:v>https://www.mercuryfund.com/contact</x:v>
      </x:c>
      <x:c r="J102" s="10" t="str">
        <x:v>https://www.mercuryfund.com/contact</x:v>
      </x:c>
      <x:c r="K102" s="10" t="str">
        <x:v>https://www.mercuryfund.com/team</x:v>
      </x:c>
      <x:c r="L102" s="10" t="str">
        <x:v>https://www.mercuryfund.com/team</x:v>
      </x:c>
      <x:c r="M102" s="10" t="str">
        <x:v>2026-09-30</x:v>
      </x:c>
    </x:row>
    <x:row r="103" ht="72" customHeight="1">
      <x:c r="A103" s="10" t="str">
        <x:v>646a6d5025f0c9</x:v>
      </x:c>
      <x:c r="B103" s="10" t="str">
        <x:v>Mercury Fund</x:v>
      </x:c>
      <x:c r="C103" s="10" t="str">
        <x:v>Blair Garrou</x:v>
      </x:c>
      <x:c r="D103" s="10" t="str"/>
      <x:c r="E103" s="10" t="str">
        <x:v>venture_equity_structure_inferred_terms_not_confirmed</x:v>
      </x:c>
      <x:c r="F103" s="10" t="str">
        <x:v>vertical_software_operator_venture_conditional</x:v>
      </x:c>
      <x:c r="G103" s="10" t="str">
        <x:v>Corporate inquiry inbox/mainline; no direct individual email or current check range found. Startup technology and venture growth needed; fee-based service contract eligibility unconfirmed.</x:v>
      </x:c>
      <x:c r="H103" s="10" t="str">
        <x:v>Corporate inquiry inbox/mainline; no direct individual email or current check range found. Startup technology and venture growth needed; fee-based service contract eligibility unconfirmed.</x:v>
      </x:c>
      <x:c r="I103" s="10" t="str">
        <x:v>https://www.mercuryfund.com/contact</x:v>
      </x:c>
      <x:c r="J103" s="10" t="str">
        <x:v>https://www.mercuryfund.com/contact</x:v>
      </x:c>
      <x:c r="K103" s="10" t="str">
        <x:v>https://www.mercuryfund.com/team</x:v>
      </x:c>
      <x:c r="L103" s="10" t="str">
        <x:v>https://www.mercuryfund.com/team</x:v>
      </x:c>
      <x:c r="M103" s="10" t="str">
        <x:v>2026-09-30</x:v>
      </x:c>
    </x:row>
    <x:row r="104" ht="72" customHeight="1">
      <x:c r="A104" s="10" t="str">
        <x:v>148e4a1a8611ec</x:v>
      </x:c>
      <x:c r="B104" s="10" t="str">
        <x:v>Mercury Fund</x:v>
      </x:c>
      <x:c r="C104" s="10" t="str">
        <x:v>Samantha Lewis</x:v>
      </x:c>
      <x:c r="D104" s="10" t="str"/>
      <x:c r="E104" s="10" t="str">
        <x:v>venture_equity_structure_inferred_terms_not_confirmed</x:v>
      </x:c>
      <x:c r="F104" s="10" t="str">
        <x:v>vertical_software_operator_venture_conditional</x:v>
      </x:c>
      <x:c r="G104" s="10" t="str">
        <x:v>Corporate inquiry inbox/mainline; no direct individual email or current check range found. Startup technology and venture growth needed; fee-based service contract eligibility unconfirmed.</x:v>
      </x:c>
      <x:c r="H104" s="10" t="str">
        <x:v>Corporate inquiry inbox/mainline; no direct individual email or current check range found. Startup technology and venture growth needed; fee-based service contract eligibility unconfirmed.</x:v>
      </x:c>
      <x:c r="I104" s="10" t="str">
        <x:v>https://www.mercuryfund.com/contact</x:v>
      </x:c>
      <x:c r="J104" s="10" t="str">
        <x:v>https://www.mercuryfund.com/contact</x:v>
      </x:c>
      <x:c r="K104" s="10" t="str">
        <x:v>https://www.mercuryfund.com/team</x:v>
      </x:c>
      <x:c r="L104" s="10" t="str">
        <x:v>https://www.mercuryfund.com/team</x:v>
      </x:c>
      <x:c r="M104" s="10" t="str">
        <x:v>2026-09-30</x:v>
      </x:c>
    </x:row>
    <x:row r="105" ht="72" customHeight="1">
      <x:c r="A105" s="10" t="str">
        <x:v>93686d8adb0527</x:v>
      </x:c>
      <x:c r="B105" s="10" t="str">
        <x:v>MetaProp</x:v>
      </x:c>
      <x:c r="C105" s="10" t="str">
        <x:v>Aaron Block</x:v>
      </x:c>
      <x:c r="D105" s="10" t="str"/>
      <x:c r="E105" s="10" t="str">
        <x:v>venture_equity_structure_inferred_terms_not_confirmed</x:v>
      </x:c>
      <x:c r="F105" s="10" t="str">
        <x:v>proptech_venture_model_conditional</x:v>
      </x:c>
      <x:c r="G105" s="10" t="str">
        <x:v>Generic firm inbox and SEC business mainline; individual email unavailable. Corporate equity terms and operating-company model fit not confirmed.</x:v>
      </x:c>
      <x:c r="H105" s="10" t="str">
        <x:v>Generic firm inbox and SEC business mainline; individual email unavailable. Corporate equity terms and operating-company model fit not confirmed.</x:v>
      </x:c>
      <x:c r="I105" s="10" t="str">
        <x:v>https://www.metaprop.com/contact</x:v>
      </x:c>
      <x:c r="J105" s="10" t="str">
        <x:v>https://adviserinfo.sec.gov/firm/summary/297815</x:v>
      </x:c>
      <x:c r="K105" s="10" t="str">
        <x:v>https://www.metaprop.com/about</x:v>
      </x:c>
      <x:c r="L105" s="10" t="str">
        <x:v>https://www.metaprop.com/about</x:v>
      </x:c>
      <x:c r="M105" s="10" t="str">
        <x:v>2026-09-30</x:v>
      </x:c>
    </x:row>
    <x:row r="106" ht="72" customHeight="1">
      <x:c r="A106" s="10" t="str">
        <x:v>9f238fffe3dea9</x:v>
      </x:c>
      <x:c r="B106" s="10" t="str">
        <x:v>MetaProp</x:v>
      </x:c>
      <x:c r="C106" s="10" t="str">
        <x:v>Zach Aarons</x:v>
      </x:c>
      <x:c r="D106" s="10" t="str"/>
      <x:c r="E106" s="10" t="str">
        <x:v>venture_equity_structure_inferred_terms_not_confirmed</x:v>
      </x:c>
      <x:c r="F106" s="10" t="str">
        <x:v>proptech_venture_model_conditional</x:v>
      </x:c>
      <x:c r="G106" s="10" t="str">
        <x:v>Generic firm inbox and SEC business mainline; individual email unavailable. Corporate equity terms and operating-company model fit not confirmed.</x:v>
      </x:c>
      <x:c r="H106" s="10" t="str">
        <x:v>Generic firm inbox and SEC business mainline; individual email unavailable. Corporate equity terms and operating-company model fit not confirmed.</x:v>
      </x:c>
      <x:c r="I106" s="10" t="str">
        <x:v>https://www.metaprop.com/contact</x:v>
      </x:c>
      <x:c r="J106" s="10" t="str">
        <x:v>https://adviserinfo.sec.gov/firm/summary/297815</x:v>
      </x:c>
      <x:c r="K106" s="10" t="str">
        <x:v>https://www.metaprop.com/about</x:v>
      </x:c>
      <x:c r="L106" s="10" t="str">
        <x:v>https://www.metaprop.com/about</x:v>
      </x:c>
      <x:c r="M106" s="10" t="str">
        <x:v>2026-09-30</x:v>
      </x:c>
    </x:row>
    <x:row r="107" ht="72" customHeight="1">
      <x:c r="A107" s="10" t="str">
        <x:v>d0d33b0a5d607f</x:v>
      </x:c>
      <x:c r="B107" s="10" t="str">
        <x:v>MetaProp</x:v>
      </x:c>
      <x:c r="C107" s="10" t="str">
        <x:v>Zak Schwarzman</x:v>
      </x:c>
      <x:c r="D107" s="10" t="str"/>
      <x:c r="E107" s="10" t="str">
        <x:v>venture_equity_structure_inferred_terms_not_confirmed</x:v>
      </x:c>
      <x:c r="F107" s="10" t="str">
        <x:v>proptech_venture_model_conditional</x:v>
      </x:c>
      <x:c r="G107" s="10" t="str">
        <x:v>Generic firm inbox and SEC business mainline; individual email unavailable. Corporate equity terms and operating-company model fit not confirmed.</x:v>
      </x:c>
      <x:c r="H107" s="10" t="str">
        <x:v>Generic firm inbox and SEC business mainline; individual email unavailable. Corporate equity terms and operating-company model fit not confirmed.</x:v>
      </x:c>
      <x:c r="I107" s="10" t="str">
        <x:v>https://www.metaprop.com/contact</x:v>
      </x:c>
      <x:c r="J107" s="10" t="str">
        <x:v>https://adviserinfo.sec.gov/firm/summary/297815</x:v>
      </x:c>
      <x:c r="K107" s="10" t="str">
        <x:v>https://www.metaprop.com/about</x:v>
      </x:c>
      <x:c r="L107" s="10" t="str">
        <x:v>https://www.metaprop.com/about</x:v>
      </x:c>
      <x:c r="M107" s="10" t="str">
        <x:v>2026-09-30</x:v>
      </x:c>
    </x:row>
    <x:row r="108" ht="72" customHeight="1">
      <x:c r="A108" s="10" t="str">
        <x:v>3b81da51533d47</x:v>
      </x:c>
      <x:c r="B108" s="10" t="str">
        <x:v>Moderne Ventures</x:v>
      </x:c>
      <x:c r="C108" s="10" t="str">
        <x:v>Constance Freedman</x:v>
      </x:c>
      <x:c r="D108" s="10" t="str"/>
      <x:c r="E108" s="10" t="str">
        <x:v>venture_equity_structure_inferred_terms_not_confirmed</x:v>
      </x:c>
      <x:c r="F108" s="10" t="str">
        <x:v>real_estate_technology_strategic_conditional</x:v>
      </x:c>
      <x:c r="G108" s="10" t="str">
        <x:v>Deals inbox routes to firm, not individual. Mainline from SEC source. Need scalable software/technology model; firm ticket and exact ownership terms not confirmed.</x:v>
      </x:c>
      <x:c r="H108" s="10" t="str">
        <x:v>Deals inbox routes to firm, not individual. Mainline from SEC source. Need scalable software/technology model; firm ticket and exact ownership terms not confirmed.</x:v>
      </x:c>
      <x:c r="I108" s="10" t="str">
        <x:v>https://www.moderneventures.com/contact</x:v>
      </x:c>
      <x:c r="J108" s="10" t="str">
        <x:v>https://adviserinfo.sec.gov/firm/summary/290453</x:v>
      </x:c>
      <x:c r="K108" s="10" t="str">
        <x:v>https://www.moderneventures.com/team</x:v>
      </x:c>
      <x:c r="L108" s="10" t="str">
        <x:v>https://www.moderneventures.com/team</x:v>
      </x:c>
      <x:c r="M108" s="10" t="str">
        <x:v>2026-09-30</x:v>
      </x:c>
    </x:row>
    <x:row r="109" ht="72" customHeight="1">
      <x:c r="A109" s="10" t="str">
        <x:v>7fe4ead558709e</x:v>
      </x:c>
      <x:c r="B109" s="10" t="str">
        <x:v>Moderne Ventures</x:v>
      </x:c>
      <x:c r="C109" s="10" t="str">
        <x:v>Lindsay Hyde</x:v>
      </x:c>
      <x:c r="D109" s="10" t="str"/>
      <x:c r="E109" s="10" t="str">
        <x:v>venture_equity_structure_inferred_terms_not_confirmed</x:v>
      </x:c>
      <x:c r="F109" s="10" t="str">
        <x:v>real_estate_technology_strategic_conditional</x:v>
      </x:c>
      <x:c r="G109" s="10" t="str">
        <x:v>Deals inbox routes to firm, not individual. Mainline from SEC source. Need scalable software/technology model; firm ticket and exact ownership terms not confirmed.</x:v>
      </x:c>
      <x:c r="H109" s="10" t="str">
        <x:v>Deals inbox routes to firm, not individual. Mainline from SEC source. Need scalable software/technology model; firm ticket and exact ownership terms not confirmed.</x:v>
      </x:c>
      <x:c r="I109" s="10" t="str">
        <x:v>https://www.moderneventures.com/contact</x:v>
      </x:c>
      <x:c r="J109" s="10" t="str">
        <x:v>https://adviserinfo.sec.gov/firm/summary/290453</x:v>
      </x:c>
      <x:c r="K109" s="10" t="str">
        <x:v>https://www.moderneventures.com/team</x:v>
      </x:c>
      <x:c r="L109" s="10" t="str">
        <x:v>https://www.moderneventures.com/team</x:v>
      </x:c>
      <x:c r="M109" s="10" t="str">
        <x:v>2026-09-30</x:v>
      </x:c>
    </x:row>
    <x:row r="110" ht="72" customHeight="1">
      <x:c r="A110" s="10" t="str">
        <x:v>c18d028c5208ac</x:v>
      </x:c>
      <x:c r="B110" s="10" t="str">
        <x:v>Moderne Ventures</x:v>
      </x:c>
      <x:c r="C110" s="10" t="str">
        <x:v>Liza Benson</x:v>
      </x:c>
      <x:c r="D110" s="10" t="str"/>
      <x:c r="E110" s="10" t="str">
        <x:v>venture_equity_structure_inferred_terms_not_confirmed</x:v>
      </x:c>
      <x:c r="F110" s="10" t="str">
        <x:v>real_estate_technology_strategic_conditional</x:v>
      </x:c>
      <x:c r="G110" s="10" t="str">
        <x:v>Deals inbox routes to firm, not individual. Mainline from SEC source. Need scalable software/technology model; firm ticket and exact ownership terms not confirmed.</x:v>
      </x:c>
      <x:c r="H110" s="10" t="str">
        <x:v>Deals inbox routes to firm, not individual. Mainline from SEC source. Need scalable software/technology model; firm ticket and exact ownership terms not confirmed.</x:v>
      </x:c>
      <x:c r="I110" s="10" t="str">
        <x:v>https://www.moderneventures.com/contact</x:v>
      </x:c>
      <x:c r="J110" s="10" t="str">
        <x:v>https://adviserinfo.sec.gov/firm/summary/290453</x:v>
      </x:c>
      <x:c r="K110" s="10" t="str">
        <x:v>https://www.moderneventures.com/team</x:v>
      </x:c>
      <x:c r="L110" s="10" t="str">
        <x:v>https://www.moderneventures.com/team</x:v>
      </x:c>
      <x:c r="M110" s="10" t="str">
        <x:v>2026-09-30</x:v>
      </x:c>
    </x:row>
    <x:row r="111" ht="72" customHeight="1">
      <x:c r="A111" s="10" t="str">
        <x:v>ca9a32245e1fef</x:v>
      </x:c>
      <x:c r="B111" s="10" t="str">
        <x:v>Moderne Ventures</x:v>
      </x:c>
      <x:c r="C111" s="10" t="str">
        <x:v>Seth Corder</x:v>
      </x:c>
      <x:c r="D111" s="10" t="str"/>
      <x:c r="E111" s="10" t="str">
        <x:v>venture_equity_structure_inferred_terms_not_confirmed</x:v>
      </x:c>
      <x:c r="F111" s="10" t="str">
        <x:v>real_estate_technology_strategic_conditional</x:v>
      </x:c>
      <x:c r="G111" s="10" t="str">
        <x:v>Deals inbox routes to firm, not individual. Mainline from SEC source. Need scalable software/technology model; firm ticket and exact ownership terms not confirmed.</x:v>
      </x:c>
      <x:c r="H111" s="10" t="str">
        <x:v>Deals inbox routes to firm, not individual. Mainline from SEC source. Need scalable software/technology model; firm ticket and exact ownership terms not confirmed.</x:v>
      </x:c>
      <x:c r="I111" s="10" t="str">
        <x:v>https://www.moderneventures.com/contact</x:v>
      </x:c>
      <x:c r="J111" s="10" t="str">
        <x:v>https://adviserinfo.sec.gov/firm/summary/290453</x:v>
      </x:c>
      <x:c r="K111" s="10" t="str">
        <x:v>https://www.moderneventures.com/team</x:v>
      </x:c>
      <x:c r="L111" s="10" t="str">
        <x:v>https://www.moderneventures.com/team</x:v>
      </x:c>
      <x:c r="M111" s="10" t="str">
        <x:v>2026-09-30</x:v>
      </x:c>
    </x:row>
    <x:row r="112" ht="72" customHeight="1">
      <x:c r="A112" s="10" t="str">
        <x:v>8c937e627267b8</x:v>
      </x:c>
      <x:c r="B112" s="10" t="str">
        <x:v>Pasadena Capital Partners</x:v>
      </x:c>
      <x:c r="C112" s="10" t="str">
        <x:v>Gregory J. Annick</x:v>
      </x:c>
      <x:c r="D112" s="10" t="str"/>
      <x:c r="E112" s="10" t="str">
        <x:v>explicit_firm_non_control_co_investment_mandate</x:v>
      </x:c>
      <x:c r="F112" s="10" t="str">
        <x:v>non_control_services_co_investment_conditional</x:v>
      </x:c>
      <x:c r="G112" s="10" t="str">
        <x:v>Official legacy site current retrieval; page content source date not stated. Mainline from contact page. Check range and current capital availability not published.</x:v>
      </x:c>
      <x:c r="H112" s="10" t="str">
        <x:v>Official legacy site current retrieval; page content source date not stated. Mainline from contact page. Check range and current capital availability not published.</x:v>
      </x:c>
      <x:c r="I112" s="10" t="str">
        <x:v>https://pasadenacapital.com/team.htm</x:v>
      </x:c>
      <x:c r="J112" s="10" t="str">
        <x:v>https://www.pasadenacapital.com/contact.htm</x:v>
      </x:c>
      <x:c r="K112" s="10" t="str">
        <x:v>https://www.pasadenacapital.com/overview.htm</x:v>
      </x:c>
      <x:c r="L112" s="10" t="str">
        <x:v>https://pasadenacapital.com/team.htm</x:v>
      </x:c>
      <x:c r="M112" s="10" t="str">
        <x:v>2026-09-30</x:v>
      </x:c>
    </x:row>
    <x:row r="113" ht="72" customHeight="1">
      <x:c r="A113" s="10" t="str">
        <x:v>5874589f6141bd</x:v>
      </x:c>
      <x:c r="B113" s="10" t="str">
        <x:v>Signet LLC</x:v>
      </x:c>
      <x:c r="C113" s="10" t="str">
        <x:v>Mark Corr</x:v>
      </x:c>
      <x:c r="D113" s="10" t="str"/>
      <x:c r="E113" s="10" t="str">
        <x:v>unconfirmed</x:v>
      </x:c>
      <x:c r="F113" s="10" t="str">
        <x:v>operating_company_and_real_estate_strategic_conditional</x:v>
      </x:c>
      <x:c r="G113" s="10" t="str">
        <x:v>Named professional email and published office number. Minority percentage, ticket size, available cash and current pilot eligibility are not established.</x:v>
      </x:c>
      <x:c r="H113" s="10" t="str">
        <x:v>Named professional email and published office number. Minority percentage, ticket size, available cash and current pilot eligibility are not established.</x:v>
      </x:c>
      <x:c r="I113" s="10" t="str">
        <x:v>https://www.signetllc.com/about-us/team/</x:v>
      </x:c>
      <x:c r="J113" s="10" t="str">
        <x:v>https://www.signetllc.com/about-us/team/</x:v>
      </x:c>
      <x:c r="K113" s="10" t="str">
        <x:v>https://www.signetllc.com/about-us/team/</x:v>
      </x:c>
      <x:c r="L113" s="10" t="str">
        <x:v>https://www.signetllc.com/about-us/team/</x:v>
      </x:c>
      <x:c r="M113" s="10" t="str">
        <x:v>2026-09-30</x:v>
      </x:c>
    </x:row>
    <x:row r="114" ht="57" customHeight="1">
      <x:c r="A114" s="10" t="str">
        <x:v>da204cd3204ca9</x:v>
      </x:c>
      <x:c r="B114" s="10" t="str">
        <x:v>Stella Maris Family Office</x:v>
      </x:c>
      <x:c r="C114" s="10" t="str">
        <x:v>Paul Kronenfeld</x:v>
      </x:c>
      <x:c r="D114" s="10" t="str"/>
      <x:c r="E114" s="10" t="str">
        <x:v>unconfirmed</x:v>
      </x:c>
      <x:c r="F114" s="10" t="str">
        <x:v>operating_company_partnership_but_maturity_review</x:v>
      </x:c>
      <x:c r="G114" s="10" t="str">
        <x:v>Firm inbox/mainline. Target business maturity may exceed current pilot. Published check size and minority percentage not confirmed.</x:v>
      </x:c>
      <x:c r="H114" s="10" t="str">
        <x:v>Firm inbox/mainline. Target business maturity may exceed current pilot. Published check size and minority percentage not confirmed.</x:v>
      </x:c>
      <x:c r="I114" s="10" t="str">
        <x:v>https://stellamarisfo.com/contact-us/</x:v>
      </x:c>
      <x:c r="J114" s="10" t="str">
        <x:v>https://stellamarisfo.com/contact-us/</x:v>
      </x:c>
      <x:c r="K114" s="10" t="str">
        <x:v>https://stellamarisfo.com/our-approach/</x:v>
      </x:c>
      <x:c r="L114" s="10" t="str">
        <x:v>https://stellamarisfo.com/team/</x:v>
      </x:c>
      <x:c r="M114" s="10" t="str">
        <x:v>2026-09-30</x:v>
      </x:c>
    </x:row>
    <x:row r="115" ht="57" customHeight="1">
      <x:c r="A115" s="10" t="str">
        <x:v>38e4917c6be7dd</x:v>
      </x:c>
      <x:c r="B115" s="10" t="str">
        <x:v>Stella Maris Family Office</x:v>
      </x:c>
      <x:c r="C115" s="10" t="str">
        <x:v>Scott Kincaid</x:v>
      </x:c>
      <x:c r="D115" s="10" t="str"/>
      <x:c r="E115" s="10" t="str">
        <x:v>unconfirmed</x:v>
      </x:c>
      <x:c r="F115" s="10" t="str">
        <x:v>operating_company_partnership_but_maturity_review</x:v>
      </x:c>
      <x:c r="G115" s="10" t="str">
        <x:v>Firm inbox/mainline. Target business maturity may exceed current pilot. Published check size and minority percentage not confirmed.</x:v>
      </x:c>
      <x:c r="H115" s="10" t="str">
        <x:v>Firm inbox/mainline. Target business maturity may exceed current pilot. Published check size and minority percentage not confirmed.</x:v>
      </x:c>
      <x:c r="I115" s="10" t="str">
        <x:v>https://stellamarisfo.com/contact-us/</x:v>
      </x:c>
      <x:c r="J115" s="10" t="str">
        <x:v>https://stellamarisfo.com/contact-us/</x:v>
      </x:c>
      <x:c r="K115" s="10" t="str">
        <x:v>https://stellamarisfo.com/our-approach/</x:v>
      </x:c>
      <x:c r="L115" s="10" t="str">
        <x:v>https://stellamarisfo.com/team/</x:v>
      </x:c>
      <x:c r="M115" s="10" t="str">
        <x:v>2026-09-30</x:v>
      </x:c>
    </x:row>
    <x:row r="116" ht="87" customHeight="1">
      <x:c r="A116" s="10" t="str">
        <x:v>d7a7f3b4dc97e9</x:v>
      </x:c>
      <x:c r="B116" s="10" t="str">
        <x:v>Tappan Hill Ventures</x:v>
      </x:c>
      <x:c r="C116" s="10" t="str">
        <x:v>Carl Erickson</x:v>
      </x:c>
      <x:c r="D116" s="10" t="str"/>
      <x:c r="E116" s="10" t="str">
        <x:v>unconfirmed</x:v>
      </x:c>
      <x:c r="F116" s="10" t="str">
        <x:v>minority_or_venture_equity_conditional</x:v>
      </x:c>
      <x:c r="G116" s="10" t="str">
        <x:v>Generic firm inbox/mainline. Bio contains older operating roles and source-date is not stated; current title/contact not independently reconfirmed by communication. No check range published in reviewed current pages.</x:v>
      </x:c>
      <x:c r="H116" s="10" t="str">
        <x:v>Generic firm inbox/mainline. Bio contains older operating roles and source-date is not stated; current title/contact not independently reconfirmed by communication. No check range published in reviewed current pages.</x:v>
      </x:c>
      <x:c r="I116" s="10" t="str">
        <x:v>https://www.tappanhillventures.com/</x:v>
      </x:c>
      <x:c r="J116" s="10" t="str">
        <x:v>https://www.tappanhillventures.com/</x:v>
      </x:c>
      <x:c r="K116" s="10" t="str">
        <x:v>https://www.tappanhillventures.com/management</x:v>
      </x:c>
      <x:c r="L116" s="10" t="str">
        <x:v>https://www.tappanhillventures.com/management</x:v>
      </x:c>
      <x:c r="M116" s="10" t="str">
        <x:v>2026-09-30</x:v>
      </x:c>
    </x:row>
    <x:row r="117" ht="87" customHeight="1">
      <x:c r="A117" s="10" t="str">
        <x:v>141eedb9ddc379</x:v>
      </x:c>
      <x:c r="B117" s="10" t="str">
        <x:v>Tappan Hill Ventures</x:v>
      </x:c>
      <x:c r="C117" s="10" t="str">
        <x:v>Linda M. Fingerle</x:v>
      </x:c>
      <x:c r="D117" s="10" t="str"/>
      <x:c r="E117" s="10" t="str">
        <x:v>unconfirmed</x:v>
      </x:c>
      <x:c r="F117" s="10" t="str">
        <x:v>minority_or_venture_equity_conditional</x:v>
      </x:c>
      <x:c r="G117" s="10" t="str">
        <x:v>Generic firm inbox/mainline. Bio contains older operating roles and source-date is not stated; current title/contact not independently reconfirmed by communication. No check range published in reviewed current pages.</x:v>
      </x:c>
      <x:c r="H117" s="10" t="str">
        <x:v>Generic firm inbox/mainline. Bio contains older operating roles and source-date is not stated; current title/contact not independently reconfirmed by communication. No check range published in reviewed current pages.</x:v>
      </x:c>
      <x:c r="I117" s="10" t="str">
        <x:v>https://www.tappanhillventures.com/</x:v>
      </x:c>
      <x:c r="J117" s="10" t="str">
        <x:v>https://www.tappanhillventures.com/</x:v>
      </x:c>
      <x:c r="K117" s="10" t="str">
        <x:v>https://www.tappanhillventures.com/management</x:v>
      </x:c>
      <x:c r="L117" s="10" t="str">
        <x:v>https://www.tappanhillventures.com/management</x:v>
      </x:c>
      <x:c r="M117" s="10" t="str">
        <x:v>2026-09-30</x:v>
      </x:c>
    </x:row>
    <x:row r="118" ht="87" customHeight="1">
      <x:c r="A118" s="10" t="str">
        <x:v>01ce887ab32093</x:v>
      </x:c>
      <x:c r="B118" s="10" t="str">
        <x:v>Tappan Hill Ventures</x:v>
      </x:c>
      <x:c r="C118" s="10" t="str">
        <x:v>Matt Mills</x:v>
      </x:c>
      <x:c r="D118" s="10" t="str"/>
      <x:c r="E118" s="10" t="str">
        <x:v>unconfirmed</x:v>
      </x:c>
      <x:c r="F118" s="10" t="str">
        <x:v>minority_or_venture_equity_conditional</x:v>
      </x:c>
      <x:c r="G118" s="10" t="str">
        <x:v>Generic firm inbox/mainline. Bio contains older operating roles and source-date is not stated; current title/contact not independently reconfirmed by communication. No check range published in reviewed current pages.</x:v>
      </x:c>
      <x:c r="H118" s="10" t="str">
        <x:v>Generic firm inbox/mainline. Bio contains older operating roles and source-date is not stated; current title/contact not independently reconfirmed by communication. No check range published in reviewed current pages.</x:v>
      </x:c>
      <x:c r="I118" s="10" t="str">
        <x:v>https://www.tappanhillventures.com/</x:v>
      </x:c>
      <x:c r="J118" s="10" t="str">
        <x:v>https://www.tappanhillventures.com/</x:v>
      </x:c>
      <x:c r="K118" s="10" t="str">
        <x:v>https://www.tappanhillventures.com/management</x:v>
      </x:c>
      <x:c r="L118" s="10" t="str">
        <x:v>https://www.tappanhillventures.com/management</x:v>
      </x:c>
      <x:c r="M118" s="10" t="str">
        <x:v>2026-09-30</x:v>
      </x:c>
    </x:row>
    <x:row r="119" ht="72" customHeight="1">
      <x:c r="A119" s="10" t="str">
        <x:v>378e08c60a0f69</x:v>
      </x:c>
      <x:c r="B119" s="10" t="str">
        <x:v>Zahren Capital</x:v>
      </x:c>
      <x:c r="C119" s="10" t="str">
        <x:v>Daniel Bald</x:v>
      </x:c>
      <x:c r="D119" s="10" t="str">
        <x:v>$100,000-$500,000 published firm average investment size</x:v>
      </x:c>
      <x:c r="E119" s="10" t="str">
        <x:v>unconfirmed</x:v>
      </x:c>
      <x:c r="F119" s="10" t="str">
        <x:v>services_and_real_estate_growth_thematic_fit</x:v>
      </x:c>
      <x:c r="G119" s="10" t="str">
        <x:v>Corporate routing inbox/mainline, not individual email. Firm publishes average ticket, not guaranteed eligibility. Series A or later/proven revenue/profit generally preferred.</x:v>
      </x:c>
      <x:c r="H119" s="10" t="str">
        <x:v>Corporate routing inbox/mainline, not individual email. Firm publishes average ticket, not guaranteed eligibility. Series A or later/proven revenue/profit generally preferred.</x:v>
      </x:c>
      <x:c r="I119" s="10" t="str">
        <x:v>https://zahrencapital.com/</x:v>
      </x:c>
      <x:c r="J119" s="10" t="str">
        <x:v>https://zahrencapital.com/</x:v>
      </x:c>
      <x:c r="K119" s="10" t="str">
        <x:v>https://zahrencapital.com/about</x:v>
      </x:c>
      <x:c r="L119" s="10" t="str">
        <x:v>https://zahrencapital.com/about</x:v>
      </x:c>
      <x:c r="M119" s="10" t="str">
        <x:v>2026-09-30</x:v>
      </x:c>
    </x:row>
    <x:row r="120" ht="72" customHeight="1">
      <x:c r="A120" s="10" t="str">
        <x:v>f1b1c8c75d8a78</x:v>
      </x:c>
      <x:c r="B120" s="10" t="str">
        <x:v>Zahren Capital</x:v>
      </x:c>
      <x:c r="C120" s="10" t="str">
        <x:v>Daniel Kohan</x:v>
      </x:c>
      <x:c r="D120" s="10" t="str">
        <x:v>$100,000-$500,000 published firm average investment size</x:v>
      </x:c>
      <x:c r="E120" s="10" t="str">
        <x:v>unconfirmed</x:v>
      </x:c>
      <x:c r="F120" s="10" t="str">
        <x:v>services_and_real_estate_growth_thematic_fit</x:v>
      </x:c>
      <x:c r="G120" s="10" t="str">
        <x:v>Corporate routing inbox/mainline, not individual email. Firm publishes average ticket, not guaranteed eligibility. Series A or later/proven revenue/profit generally preferred.</x:v>
      </x:c>
      <x:c r="H120" s="10" t="str">
        <x:v>Corporate routing inbox/mainline, not individual email. Firm publishes average ticket, not guaranteed eligibility. Series A or later/proven revenue/profit generally preferred.</x:v>
      </x:c>
      <x:c r="I120" s="10" t="str">
        <x:v>https://zahrencapital.com/</x:v>
      </x:c>
      <x:c r="J120" s="10" t="str">
        <x:v>https://zahrencapital.com/</x:v>
      </x:c>
      <x:c r="K120" s="10" t="str">
        <x:v>https://zahrencapital.com/about</x:v>
      </x:c>
      <x:c r="L120" s="10" t="str">
        <x:v>https://zahrencapital.com/about</x:v>
      </x:c>
      <x:c r="M120" s="10" t="str">
        <x:v>2026-09-30</x:v>
      </x:c>
    </x:row>
    <x:row r="121" ht="72" customHeight="1">
      <x:c r="A121" s="10" t="str">
        <x:v>cf993fef6c999d</x:v>
      </x:c>
      <x:c r="B121" s="10" t="str">
        <x:v>Zahren Capital</x:v>
      </x:c>
      <x:c r="C121" s="10" t="str">
        <x:v>Daniel Shapiro</x:v>
      </x:c>
      <x:c r="D121" s="10" t="str">
        <x:v>$100,000-$500,000 published firm average investment size</x:v>
      </x:c>
      <x:c r="E121" s="10" t="str">
        <x:v>unconfirmed</x:v>
      </x:c>
      <x:c r="F121" s="10" t="str">
        <x:v>services_and_real_estate_growth_thematic_fit</x:v>
      </x:c>
      <x:c r="G121" s="10" t="str">
        <x:v>Corporate routing inbox/mainline, not individual email. Firm publishes average ticket, not guaranteed eligibility. Series A or later/proven revenue/profit generally preferred.</x:v>
      </x:c>
      <x:c r="H121" s="10" t="str">
        <x:v>Corporate routing inbox/mainline, not individual email. Firm publishes average ticket, not guaranteed eligibility. Series A or later/proven revenue/profit generally preferred.</x:v>
      </x:c>
      <x:c r="I121" s="10" t="str">
        <x:v>https://zahrencapital.com/</x:v>
      </x:c>
      <x:c r="J121" s="10" t="str">
        <x:v>https://zahrencapital.com/</x:v>
      </x:c>
      <x:c r="K121" s="10" t="str">
        <x:v>https://zahrencapital.com/about</x:v>
      </x:c>
      <x:c r="L121" s="10" t="str">
        <x:v>https://zahrencapital.com/about</x:v>
      </x:c>
      <x:c r="M121" s="10" t="str">
        <x:v>2026-09-30</x:v>
      </x:c>
    </x:row>
    <x:row r="122" ht="87" customHeight="1">
      <x:c r="A122" s="10" t="str">
        <x:v>9f8252cdd6de4c</x:v>
      </x:c>
      <x:c r="B122" s="10" t="str">
        <x:v>RCX Capital Group / RCX Partners</x:v>
      </x:c>
      <x:c r="C122" s="10" t="str"/>
      <x:c r="D122" s="10" t="str"/>
      <x:c r="E122" s="10" t="str">
        <x:v>fund_or_manager_fee_participation_not_confirmed_company_equity</x:v>
      </x:c>
      <x:c r="F122" s="10" t="str">
        <x:v>Affiliate principal-investing strategy partners with real-estate operating platforms; commonly receives fund or fee/promote participation for capital-raising work.</x:v>
      </x:c>
      <x:c r="G122" s="10" t="str"/>
      <x:c r="H122" s="10" t="str">
        <x:v>FINRA member broker/advisory platform and affiliate principal capital must be distinguished. Published minority positions can be in a fund or manager fee/promote instead of success fees. Not proof of buying 9.3% of the operating company for cash. Check size, actual capital provider, business-stage fit and economic structure unknown.</x:v>
      </x:c>
      <x:c r="I122" s="10" t="str">
        <x:v>https://www.rcxcapitalgroup.com/copy-of-capital-raising-advisory</x:v>
      </x:c>
      <x:c r="J122" s="10" t="str">
        <x:v>https://www.rcxcapitalgroup.com/copy-of-capital-raising-advisory</x:v>
      </x:c>
      <x:c r="K122" s="10" t="str">
        <x:v>https://www.rcxcapitalgroup.com/copy-of-capital-raising-advisory</x:v>
      </x:c>
      <x:c r="L122" s="10" t="str"/>
      <x:c r="M122" s="10" t="str">
        <x:v>2026-09-30</x:v>
      </x:c>
    </x:row>
    <x:row r="123" ht="72" customHeight="1">
      <x:c r="A123" s="10" t="str">
        <x:v>f9912c72d35134</x:v>
      </x:c>
      <x:c r="B123" s="10" t="str">
        <x:v>Temerity Strategic Partners</x:v>
      </x:c>
      <x:c r="C123" s="10" t="str"/>
      <x:c r="D123" s="10" t="str"/>
      <x:c r="E123" s="10" t="str">
        <x:v>unconfirmed</x:v>
      </x:c>
      <x:c r="F123" s="10" t="str">
        <x:v>Provides growth capital and programmatic co-GP equity to established real-estate owners, operators and developers across the United States.</x:v>
      </x:c>
      <x:c r="G123" s="10" t="str"/>
      <x:c r="H123" s="10" t="str">
        <x:v>Published co-GP commitments fund real-estate owner/operator investment programs. Does not confirm equity investment in a fee-only transaction fulfillment company, a $500K ticket, or 9.3% ownership.</x:v>
      </x:c>
      <x:c r="I123" s="10" t="str">
        <x:v>https://temeritystrategic.com/contact/</x:v>
      </x:c>
      <x:c r="J123" s="10" t="str">
        <x:v>https://temeritystrategic.com/contact/</x:v>
      </x:c>
      <x:c r="K123" s="10" t="str">
        <x:v>https://temeritystrategic.com/investment-strategy/</x:v>
      </x:c>
      <x:c r="L123" s="10" t="str"/>
      <x:c r="M123" s="10" t="str">
        <x:v>2026-09-30</x:v>
      </x:c>
    </x:row>
    <x:row r="124" ht="44" customHeight="1">
      <x:c r="A124" s="10" t="str">
        <x:v>b86bef9662c6df</x:v>
      </x:c>
      <x:c r="B124" s="10" t="str">
        <x:v>Caydan Capital</x:v>
      </x:c>
      <x:c r="C124" s="10" t="str"/>
      <x:c r="D124" s="10" t="str"/>
      <x:c r="E124" s="10" t="str">
        <x:v>published_minority</x:v>
      </x:c>
      <x:c r="F124" s="10" t="str">
        <x:v>Venture-capital operating-company investments.</x:v>
      </x:c>
      <x:c r="G124" s="10" t="str"/>
      <x:c r="H124" s="10" t="str">
        <x:v>Confirm venture sector/geography and actual current deployment; no evidence of liquid cash.</x:v>
      </x:c>
      <x:c r="I124" s="10" t="str"/>
      <x:c r="J124" s="10" t="str">
        <x:v>https://www.caydancapital.com/venture-capital</x:v>
      </x:c>
      <x:c r="K124" s="10" t="str">
        <x:v>https://www.caydancapital.com/venture-capital</x:v>
      </x:c>
      <x:c r="L124" s="10" t="str"/>
      <x:c r="M124" s="10" t="str">
        <x:v>2026-09-30</x:v>
      </x:c>
    </x:row>
    <x:row r="125" ht="57" customHeight="1">
      <x:c r="A125" s="10" t="str">
        <x:v>e3f12cd27a4317</x:v>
      </x:c>
      <x:c r="B125" s="10" t="str">
        <x:v>Colorado Impact Fund</x:v>
      </x:c>
      <x:c r="C125" s="10" t="str"/>
      <x:c r="D125" s="10" t="str"/>
      <x:c r="E125" s="10" t="str">
        <x:v>unknown</x:v>
      </x:c>
      <x:c r="F125" s="10" t="str">
        <x:v>Initial-round investment in Colorado companies with positive community impact.</x:v>
      </x:c>
      <x:c r="G125" s="10" t="str"/>
      <x:c r="H125" s="10" t="str">
        <x:v>Colorado nexus and defined impact requirements; exact minority percentage unknown.</x:v>
      </x:c>
      <x:c r="I125" s="10" t="str"/>
      <x:c r="J125" s="10" t="str">
        <x:v>https://reports.adviserinfo.sec.gov/reports/CompilationReports/IA_FIRM_SEC_Feed_09_29_2026.xml.gz</x:v>
      </x:c>
      <x:c r="K125" s="10" t="str">
        <x:v>https://www.coloradoimpactfund.com/entrepreneurs</x:v>
      </x:c>
      <x:c r="L125" s="10" t="str"/>
      <x:c r="M125" s="10" t="str">
        <x:v>2026-09-30</x:v>
      </x:c>
    </x:row>
    <x:row r="126" ht="57" customHeight="1">
      <x:c r="A126" s="10" t="str">
        <x:v>592a215bf4021e</x:v>
      </x:c>
      <x:c r="B126" s="10" t="str">
        <x:v>Colton Capital Partners</x:v>
      </x:c>
      <x:c r="C126" s="10" t="str"/>
      <x:c r="D126" s="10" t="str"/>
      <x:c r="E126" s="10" t="str">
        <x:v>unknown</x:v>
      </x:c>
      <x:c r="F126" s="10" t="str">
        <x:v>Texas operating companies across sectors; growth equity, startups, recapitalizations.</x:v>
      </x:c>
      <x:c r="G126" s="10" t="str"/>
      <x:c r="H126" s="10" t="str">
        <x:v>Established model/history of profitable growth generally preferred; exact minority stake acceptance needs confirmation.</x:v>
      </x:c>
      <x:c r="I126" s="10" t="str"/>
      <x:c r="J126" s="10" t="str"/>
      <x:c r="K126" s="10" t="str">
        <x:v>https://coltoncap.com/approach-criteria/</x:v>
      </x:c>
      <x:c r="L126" s="10" t="str"/>
      <x:c r="M126" s="10" t="str">
        <x:v>2026-09-30</x:v>
      </x:c>
    </x:row>
    <x:row r="127" ht="57" customHeight="1">
      <x:c r="A127" s="10" t="str">
        <x:v>e55014bd97d6d5</x:v>
      </x:c>
      <x:c r="B127" s="10" t="str">
        <x:v>Cooper Road</x:v>
      </x:c>
      <x:c r="C127" s="10" t="str"/>
      <x:c r="D127" s="10" t="str"/>
      <x:c r="E127" s="10" t="str">
        <x:v>published_minority</x:v>
      </x:c>
      <x:c r="F127" s="10" t="str">
        <x:v>Minority investment across pre-revenue to late-stage growth equity; East Coast control strategy distinct.</x:v>
      </x:c>
      <x:c r="G127" s="10" t="str"/>
      <x:c r="H127" s="10" t="str">
        <x:v>Confirm reviewed deal-size range is minority strategy; property origination services sector needs qualification.</x:v>
      </x:c>
      <x:c r="I127" s="10" t="str">
        <x:v>https://www.cooperroadllc.com/team</x:v>
      </x:c>
      <x:c r="J127" s="10" t="str"/>
      <x:c r="K127" s="10" t="str">
        <x:v>https://www.cooperroadllc.com/minority-control-investments</x:v>
      </x:c>
      <x:c r="L127" s="10" t="str"/>
      <x:c r="M127" s="10" t="str">
        <x:v>2026-09-30</x:v>
      </x:c>
    </x:row>
    <x:row r="128" ht="57" customHeight="1">
      <x:c r="A128" s="10" t="str">
        <x:v>eb56d01db99b3a</x:v>
      </x:c>
      <x:c r="B128" s="10" t="str">
        <x:v>EdgeHill Venture Partners</x:v>
      </x:c>
      <x:c r="C128" s="10" t="str"/>
      <x:c r="D128" s="10" t="str"/>
      <x:c r="E128" s="10" t="str">
        <x:v>published_minority_or_majority</x:v>
      </x:c>
      <x:c r="F128" s="10" t="str">
        <x:v>Kansas City debt/equity investor with active or passive capital partnership.</x:v>
      </x:c>
      <x:c r="G128" s="10" t="str"/>
      <x:c r="H128" s="10" t="str">
        <x:v>Published broad range extends above $100M; lower-end $250K stated but available capital and 9.3% terms unconfirmed.</x:v>
      </x:c>
      <x:c r="I128" s="10" t="str"/>
      <x:c r="J128" s="10" t="str">
        <x:v>https://www.edgehillvp.com/</x:v>
      </x:c>
      <x:c r="K128" s="10" t="str">
        <x:v>https://www.edgehillvp.com/</x:v>
      </x:c>
      <x:c r="L128" s="10" t="str"/>
      <x:c r="M128" s="10" t="str">
        <x:v>2026-09-30</x:v>
      </x:c>
    </x:row>
    <x:row r="129" ht="57" customHeight="1">
      <x:c r="A129" s="10" t="str">
        <x:v>4de2cf38994509</x:v>
      </x:c>
      <x:c r="B129" s="10" t="str">
        <x:v>JAM Capital LLC</x:v>
      </x:c>
      <x:c r="C129" s="10" t="str"/>
      <x:c r="D129" s="10" t="str"/>
      <x:c r="E129" s="10" t="str">
        <x:v>unknown</x:v>
      </x:c>
      <x:c r="F129" s="10" t="str">
        <x:v>US private operating-company and venture investments; technology, security, financial services, real estate.</x:v>
      </x:c>
      <x:c r="G129" s="10" t="str"/>
      <x:c r="H129" s="10" t="str">
        <x:v>Most transactions approximately $1M; private investment requires proven sales/profitability; VC requires proprietary property, product-market fit and supported sales.</x:v>
      </x:c>
      <x:c r="I129" s="10" t="str"/>
      <x:c r="J129" s="10" t="str"/>
      <x:c r="K129" s="10" t="str">
        <x:v>https://www.jamcapitalllc.com/</x:v>
      </x:c>
      <x:c r="L129" s="10" t="str"/>
      <x:c r="M129" s="10" t="str">
        <x:v>2026-09-30</x:v>
      </x:c>
    </x:row>
    <x:row r="130" ht="57" customHeight="1">
      <x:c r="A130" s="10" t="str">
        <x:v>8d10b9d78e75b3</x:v>
      </x:c>
      <x:c r="B130" s="10" t="str">
        <x:v>Network Effects Capital</x:v>
      </x:c>
      <x:c r="C130" s="10" t="str"/>
      <x:c r="D130" s="10" t="str"/>
      <x:c r="E130" s="10" t="str">
        <x:v>unknown</x:v>
      </x:c>
      <x:c r="F130" s="10" t="str">
        <x:v>Growth capital in private-company opportunities, member-sponsored deals.</x:v>
      </x:c>
      <x:c r="G130" s="10" t="str"/>
      <x:c r="H130" s="10" t="str">
        <x:v>Member referral/involvement typically required; current active capital availability unverified.</x:v>
      </x:c>
      <x:c r="I130" s="10" t="str"/>
      <x:c r="J130" s="10" t="str"/>
      <x:c r="K130" s="10" t="str">
        <x:v>https://networkeffectscapital.com/investment-criteria/</x:v>
      </x:c>
      <x:c r="L130" s="10" t="str"/>
      <x:c r="M130" s="10" t="str">
        <x:v>2026-09-30</x:v>
      </x:c>
    </x:row>
    <x:row r="131" ht="57" customHeight="1">
      <x:c r="A131" s="10" t="str">
        <x:v>68c62085e6e5af</x:v>
      </x:c>
      <x:c r="B131" s="10" t="str">
        <x:v>Onyx Capital Management</x:v>
      </x:c>
      <x:c r="C131" s="10" t="str"/>
      <x:c r="D131" s="10" t="str"/>
      <x:c r="E131" s="10" t="str">
        <x:v>minority_residual_possible</x:v>
      </x:c>
      <x:c r="F131" s="10" t="str">
        <x:v>Own-capital principal investment for ownership transition and business growth.</x:v>
      </x:c>
      <x:c r="G131" s="10" t="str"/>
      <x:c r="H131" s="10" t="str">
        <x:v>Residual minority/royalty interests may follow acquisition, not necessarily stand-alone minority equity. Confirm mandate.</x:v>
      </x:c>
      <x:c r="I131" s="10" t="str"/>
      <x:c r="J131" s="10" t="str">
        <x:v>https://onyxcm.com/service/principal-investing/</x:v>
      </x:c>
      <x:c r="K131" s="10" t="str">
        <x:v>https://onyxcm.com/service/principal-investing/</x:v>
      </x:c>
      <x:c r="L131" s="10" t="str"/>
      <x:c r="M131" s="10" t="str">
        <x:v>2026-09-30</x:v>
      </x:c>
    </x:row>
    <x:row r="132" ht="57" customHeight="1">
      <x:c r="A132" s="10" t="str">
        <x:v>debb34c9d0f950</x:v>
      </x:c>
      <x:c r="B132" s="10" t="str">
        <x:v>Pasadena Capital Partners</x:v>
      </x:c>
      <x:c r="C132" s="10" t="str"/>
      <x:c r="D132" s="10" t="str"/>
      <x:c r="E132" s="10" t="str">
        <x:v>unknown</x:v>
      </x:c>
      <x:c r="F132" s="10" t="str">
        <x:v>Business services and manufacturing; growth in cash operating earnings.</x:v>
      </x:c>
      <x:c r="G132" s="10" t="str"/>
      <x:c r="H132" s="10" t="str">
        <x:v>Operating earnings growth requirement; historical site copyright/public criteria need current firm activity confirmation.</x:v>
      </x:c>
      <x:c r="I132" s="10" t="str">
        <x:v>https://www.pasadenacapital.com/contact.htm</x:v>
      </x:c>
      <x:c r="J132" s="10" t="str"/>
      <x:c r="K132" s="10" t="str">
        <x:v>https://www.pasadenacapital.com/criteria.htm</x:v>
      </x:c>
      <x:c r="L132" s="10" t="str"/>
      <x:c r="M132" s="10" t="str">
        <x:v>2026-09-30</x:v>
      </x:c>
    </x:row>
    <x:row r="133" ht="72" customHeight="1">
      <x:c r="A133" s="10" t="str">
        <x:v>1b5b5bc1b59d92</x:v>
      </x:c>
      <x:c r="B133" s="10" t="str">
        <x:v>Stelac Capital Partners</x:v>
      </x:c>
      <x:c r="C133" s="10" t="str"/>
      <x:c r="D133" s="10" t="str"/>
      <x:c r="E133" s="10" t="str">
        <x:v>unknown</x:v>
      </x:c>
      <x:c r="F133" s="10" t="str">
        <x:v>Late-stage venture companies with proven business models; growth capital in business services, consumer, media, technology.</x:v>
      </x:c>
      <x:c r="G133" s="10" t="str"/>
      <x:c r="H133" s="10" t="str">
        <x:v>$250K–$1M specifically late-stage venture; new projected-fee business may not be proven model.; Only invests in deals sourced from its personal/business network; no brokers or bankers. No committed fund: platform investors select investments deal by deal.</x:v>
      </x:c>
      <x:c r="I133" s="10" t="str"/>
      <x:c r="J133" s="10" t="str">
        <x:v>https://stelac.com/investment-criteria</x:v>
      </x:c>
      <x:c r="K133" s="10" t="str">
        <x:v>https://stelac.com/investment-criteria</x:v>
      </x:c>
      <x:c r="L133" s="10" t="str"/>
      <x:c r="M133" s="10" t="str">
        <x:v>2026-09-30</x:v>
      </x:c>
    </x:row>
    <x:row r="134" ht="162" customHeight="1">
      <x:c r="A134" s="10" t="str">
        <x:v>c5a6a9e1b7b6e3</x:v>
      </x:c>
      <x:c r="B134" s="10" t="str">
        <x:v>CHW Capital</x:v>
      </x:c>
      <x:c r="C134" s="10" t="str"/>
      <x:c r="D134" s="10" t="str">
        <x:v>company_investment_not_LP_subscription</x:v>
      </x:c>
      <x:c r="E134" s="10" t="str">
        <x:v>Official homepage says active minority equity and shows a minority healthcare-cleaning investment.</x:v>
      </x:c>
      <x:c r="F134" s="10" t="str">
        <x:v>Industry-agnostic minority operating-company growth equity with a published $500K minimum.</x:v>
      </x:c>
      <x:c r="G134" s="10" t="str">
        <x:v>Industry-agnostic minority operating-company growth equity with a published $500K minimum.</x:v>
      </x:c>
      <x:c r="H134" s="10" t="str">
        <x:v>Requires at least $1M existing revenue and 20% annual growth. Public phone unavailable; named email only. Personal liquidity not inferred. actual_revenue_1m_and_20_percent_growth_unconfirmed;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Requires at least$1M actual revenue and20%annual growth. Projected EBITDA/fees do not establish eligibility; no maximum check published. 101XVC is described as an origination/acquisition/marketing operator with proprietary software, not demonstrated standalone SaaS. Projected EBITDA/fees do not establish eligibility; no maximum check published.</x:v>
      </x:c>
      <x:c r="I134" s="10" t="str">
        <x:v>https://chw.capital/</x:v>
      </x:c>
      <x:c r="J134" s="10" t="str"/>
      <x:c r="K134" s="10" t="str">
        <x:v>https://chw.capital/</x:v>
      </x:c>
      <x:c r="L134" s="10" t="str"/>
      <x:c r="M134" s="10" t="str">
        <x:v>2026-09-30</x:v>
      </x:c>
    </x:row>
    <x:row r="135" ht="57" customHeight="1">
      <x:c r="A135" s="10" t="str">
        <x:v>b63e072ffe41d8</x:v>
      </x:c>
      <x:c r="B135" s="10" t="str">
        <x:v>Prox Search Capital</x:v>
      </x:c>
      <x:c r="C135" s="10" t="str"/>
      <x:c r="D135" s="10" t="str"/>
      <x:c r="E135" s="10" t="str">
        <x:v>Explicit non-control minority investments alongside independent sponsors and acquisition entrepreneurs.</x:v>
      </x:c>
      <x:c r="F135" s="10" t="str">
        <x:v>Acquisition/M&amp;A follow-on could match mandate if an established operating-company acquisition is presented.</x:v>
      </x:c>
      <x:c r="G135" s="10" t="str">
        <x:v>Acquisition/M&amp;A follow-on could match mandate if an established operating-company acquisition is presented.</x:v>
      </x:c>
      <x:c r="H135" s="10" t="str">
        <x:v>Current standalone pre-execution working capital is a mandate mismatch: invests in acquisitions of established companies with $1M–$5M adjusted EBITDA. No public phone.</x:v>
      </x:c>
      <x:c r="I135" s="10" t="str">
        <x:v>https://proxsearchcapital.com/</x:v>
      </x:c>
      <x:c r="J135" s="10" t="str"/>
      <x:c r="K135" s="10" t="str">
        <x:v>https://proxsearchcapital.com/</x:v>
      </x:c>
      <x:c r="L135" s="10" t="str"/>
      <x:c r="M135" s="10" t="str">
        <x:v>2026-09-30</x:v>
      </x:c>
    </x:row>
    <x:row r="136" ht="57" customHeight="1">
      <x:c r="A136" s="10" t="str">
        <x:v>7f875819523429</x:v>
      </x:c>
      <x:c r="B136" s="10" t="str">
        <x:v>Rifton Capital</x:v>
      </x:c>
      <x:c r="C136" s="10" t="str"/>
      <x:c r="D136" s="10" t="str"/>
      <x:c r="E136" s="10" t="str">
        <x:v>Explicit minority and majority equity mandate.</x:v>
      </x:c>
      <x:c r="F136" s="10" t="str">
        <x:v>Published $500K-compatible minority checks, industry agnostic with real-estate and consumer-services investment history.</x:v>
      </x:c>
      <x:c r="G136" s="10" t="str">
        <x:v>Published $500K-compatible minority checks, industry agnostic with real-estate and consumer-services investment history.</x:v>
      </x:c>
      <x:c r="H136" s="10" t="str">
        <x:v>Explicitly does not invest in startups and wants profitable growing companies. Public phone unavailable.</x:v>
      </x:c>
      <x:c r="I136" s="10" t="str">
        <x:v>https://www.riftoncapital.com/</x:v>
      </x:c>
      <x:c r="J136" s="10" t="str"/>
      <x:c r="K136" s="10" t="str">
        <x:v>https://www.riftoncapital.com/</x:v>
      </x:c>
      <x:c r="L136" s="10" t="str"/>
      <x:c r="M136" s="10" t="str">
        <x:v>2026-09-30</x:v>
      </x:c>
    </x:row>
    <x:row r="137" ht="162" customHeight="1">
      <x:c r="A137" s="10" t="str">
        <x:v>ab3452559226fc</x:v>
      </x:c>
      <x:c r="B137" s="10" t="str">
        <x:v>Denver Ventures</x:v>
      </x:c>
      <x:c r="C137" s="10" t="str">
        <x:v>Amy Brandenburg</x:v>
      </x:c>
      <x:c r="D137" s="10" t="str">
        <x:v>$250,000-$800,000 firm ticket</x:v>
      </x:c>
      <x:c r="E137" s="10" t="str">
        <x:v>inferred_seed_equity_not_confirmed_9_3_percent</x:v>
      </x:c>
      <x:c r="F137" s="10" t="str">
        <x:v>Technology startups; frontier technology</x:v>
      </x:c>
      <x:c r="G137"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Current brand after Denver Angels redirect; do not treat both brands as separate capital opportunities.</x:v>
      </x:c>
      <x:c r="H137"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Current brand after Denver Angels redirect; do not treat both brands as separate capital opportunities. software_and_venture_growth_unconfirmed; 101XVC is described as an origination/acquisition/marketing operator with proprietary software, not demonstrated standalone SaaS. Current brand after Denver Angels redirect; do not treat both brands as separate capital opportunities. 101XVC is described as an origination/acquisition/marketing operator with proprietary software, not demonstrated standalone SaaS. Current brand after Denver Angels redirect; do not treat both brands as separate capital opportunities.</x:v>
      </x:c>
      <x:c r="I137" s="10" t="str"/>
      <x:c r="J137" s="10" t="str">
        <x:v>https://denverventures.co</x:v>
      </x:c>
      <x:c r="K137" s="10" t="str">
        <x:v>https://denverventures.co/</x:v>
      </x:c>
      <x:c r="L137" s="10" t="str">
        <x:v>https://denverventures.co/</x:v>
      </x:c>
      <x:c r="M137" s="10" t="str">
        <x:v>2026-09-30</x:v>
      </x:c>
    </x:row>
    <x:row r="138" ht="162" customHeight="1">
      <x:c r="A138" s="10" t="str">
        <x:v>31188f7e7a1aa6</x:v>
      </x:c>
      <x:c r="B138" s="10" t="str">
        <x:v>Firebrand Ventures</x:v>
      </x:c>
      <x:c r="C138" s="10" t="str">
        <x:v>John Fein</x:v>
      </x:c>
      <x:c r="D138" s="10" t="str">
        <x:v>$500,000-$1,000,000 firm ticket</x:v>
      </x:c>
      <x:c r="E138" s="10" t="str">
        <x:v>inferred_seed_equity_not_confirmed_9_3_percent</x:v>
      </x:c>
      <x:c r="F138" s="10" t="str">
        <x:v>Capital efficient software</x:v>
      </x:c>
      <x:c r="G138"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Software traction and venture-scale opportunity required; website publishes long-term startup orientation.</x:v>
      </x:c>
      <x:c r="H138"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Software traction and venture-scale opportunity required; website publishes long-term startup orientation. software_and_venture_growth_unconfirmed; 101XVC is described as an origination/acquisition/marketing operator with proprietary software, not demonstrated standalone SaaS. Software traction and venture-scale opportunity required; website publishes long-term startup orientation. 101XVC is described as an origination/acquisition/marketing operator with proprietary software, not demonstrated standalone SaaS. Software traction and venture-scale opportunity required; website publishes long-term startup orientation.</x:v>
      </x:c>
      <x:c r="I138" s="10" t="str">
        <x:v>https://www.firebrandvc.com/team</x:v>
      </x:c>
      <x:c r="J138" s="10" t="str">
        <x:v>https://www.firebrandvc.com</x:v>
      </x:c>
      <x:c r="K138" s="10" t="str">
        <x:v>https://www.firebrandvc.com/investment-criteria</x:v>
      </x:c>
      <x:c r="L138" s="10" t="str">
        <x:v>https://www.firebrandvc.com/team</x:v>
      </x:c>
      <x:c r="M138" s="10" t="str">
        <x:v>2026-09-30</x:v>
      </x:c>
    </x:row>
    <x:row r="139" ht="177" customHeight="1">
      <x:c r="A139" s="10" t="str">
        <x:v>14c162eee50868</x:v>
      </x:c>
      <x:c r="B139" s="10" t="str">
        <x:v>Heartland Ventures</x:v>
      </x:c>
      <x:c r="C139" s="10" t="str">
        <x:v>Max Brickman</x:v>
      </x:c>
      <x:c r="D139" s="10" t="str">
        <x:v>$500,000-$3,000,000 firm ticket</x:v>
      </x:c>
      <x:c r="E139" s="10" t="str">
        <x:v>inferred_seed_equity_not_confirmed_9_3_percent</x:v>
      </x:c>
      <x:c r="F139" s="10" t="str">
        <x:v>Real estate, construction, manufacturing, logistics, supply chain technology</x:v>
      </x:c>
      <x:c r="G139"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Strategic Midwest operating-company network relevant; invests in high-growth technology companies with customer validation.</x:v>
      </x:c>
      <x:c r="H139"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Strategic Midwest operating-company network relevant; invests in high-growth technology companies with customer validation. software_and_venture_growth_unconfirmed; 101XVC is described as an origination/acquisition/marketing operator with proprietary software, not demonstrated standalone SaaS. Strategic Midwest operating-company network relevant; invests in high-growth technology companies with customer validation. 101XVC is described as an origination/acquisition/marketing operator with proprietary software, not demonstrated standalone SaaS. Strategic Midwest operating-company network relevant; invests in high-growth technology companies with customer validation.</x:v>
      </x:c>
      <x:c r="I139" s="10" t="str">
        <x:v>https://www.heartlandvc.com/max-brickman</x:v>
      </x:c>
      <x:c r="J139" s="10" t="str">
        <x:v>https://www.heartlandvc.com</x:v>
      </x:c>
      <x:c r="K139" s="10" t="str">
        <x:v>https://www.heartlandvc.com/venture-capital</x:v>
      </x:c>
      <x:c r="L139" s="10" t="str">
        <x:v>https://www.heartlandvc.com/max-brickman</x:v>
      </x:c>
      <x:c r="M139" s="10" t="str">
        <x:v>2026-09-30</x:v>
      </x:c>
    </x:row>
    <x:row r="140" ht="192" customHeight="1">
      <x:c r="A140" s="10" t="str">
        <x:v>64a46d252769a5</x:v>
      </x:c>
      <x:c r="B140" s="10" t="str">
        <x:v>Hometeam Ventures</x:v>
      </x:c>
      <x:c r="C140" s="10" t="str">
        <x:v>Alexandria Lafci</x:v>
      </x:c>
      <x:c r="D140" s="10" t="str">
        <x:v>$500,000-$1,000,000 firm ticket</x:v>
      </x:c>
      <x:c r="E140" s="10" t="str">
        <x:v>inferred_seed_equity_not_confirmed_9_3_percent</x:v>
      </x:c>
      <x:c r="F140" s="10" t="str">
        <x:v>Built world, housing and construction technology</x:v>
      </x:c>
      <x:c r="G140"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Underwriting and housing platforms in portfolio are relevant; current acquisition/marketing operations must show investable technology economics.</x:v>
      </x:c>
      <x:c r="H140"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Underwriting and housing platforms in portfolio are relevant; current acquisition/marketing operations must show investable technology economics. software_and_venture_growth_unconfirmed; 101XVC is described as an origination/acquisition/marketing operator with proprietary software, not demonstrated standalone SaaS. Underwriting and housing platforms in portfolio are relevant; current acquisition/marketing operations must show investable technology economics. 101XVC is described as an origination/acquisition/marketing operator with proprietary software, not demonstrated standalone SaaS. Underwriting and housing platforms in portfolio are relevant; current acquisition/marketing operations must show investable technology economics.</x:v>
      </x:c>
      <x:c r="I140" s="10" t="str">
        <x:v>https://www.hometeam.vc/</x:v>
      </x:c>
      <x:c r="J140" s="10" t="str">
        <x:v>https://www.hometeam.vc</x:v>
      </x:c>
      <x:c r="K140" s="10" t="str">
        <x:v>https://www.hometeam.vc/</x:v>
      </x:c>
      <x:c r="L140" s="10" t="str">
        <x:v>https://hometeam.vc/about</x:v>
      </x:c>
      <x:c r="M140" s="10" t="str">
        <x:v>2026-09-30</x:v>
      </x:c>
    </x:row>
    <x:row r="141" ht="177" customHeight="1">
      <x:c r="A141" s="10" t="str">
        <x:v>40508efa2c72cf</x:v>
      </x:c>
      <x:c r="B141" s="10" t="str">
        <x:v>Incisive Ventures</x:v>
      </x:c>
      <x:c r="C141" s="10" t="str">
        <x:v>Martin Tobias</x:v>
      </x:c>
      <x:c r="D141" s="10" t="str">
        <x:v>$250,000-$500,000 firm ticket</x:v>
      </x:c>
      <x:c r="E141" s="10" t="str">
        <x:v>inferred_seed_equity_not_confirmed_9_3_percent</x:v>
      </x:c>
      <x:c r="F141" s="10" t="str">
        <x:v>B2B technology reducing friction at scale</x:v>
      </x:c>
      <x:c r="G141"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Digital workflow relevance only; founder-led software proposition needed rather than projected fulfillment fees alone.</x:v>
      </x:c>
      <x:c r="H141"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Digital workflow relevance only; founder-led software proposition needed rather than projected fulfillment fees alone. software_and_venture_growth_unconfirmed; 101XVC is described as an origination/acquisition/marketing operator with proprietary software, not demonstrated standalone SaaS. Digital workflow relevance only; founder-led software proposition needed rather than projected fulfillment fees alone. 101XVC is described as an origination/acquisition/marketing operator with proprietary software, not demonstrated standalone SaaS. Digital workflow relevance only; founder-led software proposition needed rather than projected fulfillment fees alone.</x:v>
      </x:c>
      <x:c r="I141" s="10" t="str"/>
      <x:c r="J141" s="10" t="str">
        <x:v>https://www.incisive.vc</x:v>
      </x:c>
      <x:c r="K141" s="10" t="str">
        <x:v>https://www.incisive.vc/</x:v>
      </x:c>
      <x:c r="L141" s="10" t="str">
        <x:v>https://www.incisive.vc/about</x:v>
      </x:c>
      <x:c r="M141" s="10" t="str">
        <x:v>2026-09-30</x:v>
      </x:c>
    </x:row>
    <x:row r="142" ht="162" customHeight="1">
      <x:c r="A142" s="10" t="str">
        <x:v>ef380ea8a03e16</x:v>
      </x:c>
      <x:c r="B142" s="10" t="str">
        <x:v>Tapasya Ventures</x:v>
      </x:c>
      <x:c r="C142" s="10" t="str">
        <x:v>Pratik Kodial</x:v>
      </x:c>
      <x:c r="D142" s="10" t="str">
        <x:v>$25,000-$500,000 firm ticket</x:v>
      </x:c>
      <x:c r="E142" s="10" t="str">
        <x:v>inferred_seed_equity_not_confirmed_9_3_percent</x:v>
      </x:c>
      <x:c r="F142" s="10" t="str">
        <x:v>B2B enterprise sectors; technology-enabled operations</x:v>
      </x:c>
      <x:c r="G142"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Texas founder/location requirement needs confirmation; proposed company is not shown to satisfy geography.</x:v>
      </x:c>
      <x:c r="H142"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Texas founder/location requirement needs confirmation; proposed company is not shown to satisfy geography. software_and_venture_growth_unconfirmed; 101XVC is described as an origination/acquisition/marketing operator with proprietary software, not demonstrated standalone SaaS. Texas founder/location requirement needs confirmation; proposed company is not shown to satisfy geography. 101XVC is described as an origination/acquisition/marketing operator with proprietary software, not demonstrated standalone SaaS. Texas founder/location requirement needs confirmation; proposed company is not shown to satisfy geography.</x:v>
      </x:c>
      <x:c r="I142" s="10" t="str">
        <x:v>https://www.tapasyaventures.com/founders.html</x:v>
      </x:c>
      <x:c r="J142" s="10" t="str">
        <x:v>https://www.tapasyaventures.com</x:v>
      </x:c>
      <x:c r="K142" s="10" t="str">
        <x:v>https://www.tapasyaventures.com/founders.html</x:v>
      </x:c>
      <x:c r="L142" s="10" t="str">
        <x:v>https://www.tapasyaventures.com/team.html</x:v>
      </x:c>
      <x:c r="M142" s="10" t="str">
        <x:v>2026-09-30</x:v>
      </x:c>
    </x:row>
    <x:row r="143" ht="162" customHeight="1">
      <x:c r="A143" s="10" t="str">
        <x:v>6e0c1ba57357bb</x:v>
      </x:c>
      <x:c r="B143" s="10" t="str">
        <x:v>Topaz Ventures / Topaz Capital Group</x:v>
      </x:c>
      <x:c r="C143" s="10" t="str">
        <x:v>J. Etan Friedman</x:v>
      </x:c>
      <x:c r="D143" s="10" t="str">
        <x:v>$360,000-$1,500,000 firm ticket</x:v>
      </x:c>
      <x:c r="E143" s="10" t="str">
        <x:v>inferred_seed_equity_not_confirmed_9_3_percent</x:v>
      </x:c>
      <x:c r="F143" s="10" t="str">
        <x:v>Property and real estate technology; financial services and business solutions</x:v>
      </x:c>
      <x:c r="G143"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Publishes$15M-$50M target pre-money; proposed$500K/9.3% implies lower valuation and may conflict. Property acquisitions strategy is separate from technology venture ticket.</x:v>
      </x:c>
      <x:c r="H143" s="10"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Publishes$15M-$50M target pre-money; proposed$500K/9.3% implies lower valuation and may conflict. Property acquisitions strategy is separate from technology venture ticket. software_and_venture_growth_unconfirmed; 101XVC is described as an origination/acquisition/marketing operator with proprietary software, not demonstrated standalone SaaS. Property acquisitions strategy is separate from technology venture ticket. 101XVC is described as an origination/acquisition/marketing operator with proprietary software, not demonstrated standalone SaaS. Property acquisitions strategy is separate from technology venture ticket.</x:v>
      </x:c>
      <x:c r="I143" s="10" t="str">
        <x:v>https://topazcg.com/executive-team/</x:v>
      </x:c>
      <x:c r="J143" s="10" t="str">
        <x:v>https://topazcg.com</x:v>
      </x:c>
      <x:c r="K143" s="10" t="str">
        <x:v>https://topazcg.com/topaz-ventures/</x:v>
      </x:c>
      <x:c r="L143" s="10" t="str">
        <x:v>https://topazcg.com/executive-team/</x:v>
      </x:c>
      <x:c r="M143" s="10" t="str">
        <x:v>2026-09-30</x:v>
      </x:c>
    </x:row>
    <x:row r="144" ht="132" customHeight="1">
      <x:c r="A144" s="10" t="str">
        <x:v>7580deb647650d</x:v>
      </x:c>
      <x:c r="B144" s="10" t="str">
        <x:v>1517 Fund</x:v>
      </x:c>
      <x:c r="C144" s="10" t="str"/>
      <x:c r="D144" s="10" t="str">
        <x:v>company_investment_not_LP_subscription</x:v>
      </x:c>
      <x:c r="E144" s="10" t="str">
        <x:v>Seed venture financing suggests minority equity; exact control/ownership terms not published or verified.</x:v>
      </x:c>
      <x:c r="F144" s="10" t="str">
        <x:v>Published company investment ticket overlaps $500K; sector or workflow relevance warrants a conditional strategic introduction.</x:v>
      </x:c>
      <x:c r="G144" s="10" t="str">
        <x:v>Published company investment ticket overlaps $500K; sector or workflow relevance warrants a conditional strategic introduction.</x:v>
      </x:c>
      <x:c r="H144"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Average published pre-seed check$400K. $500K within broad range; technical-founder/dropout mandate and fund decision need confirmation. 101XVC is described as an origination/acquisition/marketing operator with proprietary software, not demonstrated standalone SaaS. $500K within broad range; technical-founder/dropout mandate and fund decision need confirmation.</x:v>
      </x:c>
      <x:c r="I144" s="10" t="str">
        <x:v>https://1517fund.com/</x:v>
      </x:c>
      <x:c r="J144" s="10" t="str"/>
      <x:c r="K144" s="10" t="str">
        <x:v>https://1517fund.com/</x:v>
      </x:c>
      <x:c r="L144" s="10" t="str"/>
      <x:c r="M144" s="10" t="str">
        <x:v>2026-09-30</x:v>
      </x:c>
    </x:row>
    <x:row r="145" ht="132" customHeight="1">
      <x:c r="A145" s="10" t="str">
        <x:v>e118f0b9c47259</x:v>
      </x:c>
      <x:c r="B145" s="10" t="str">
        <x:v>1864 Fund / Granite Partners</x:v>
      </x:c>
      <x:c r="C145" s="10" t="str"/>
      <x:c r="D145" s="10" t="str">
        <x:v>company_investment_not_LP_subscription</x:v>
      </x:c>
      <x:c r="E145" s="10" t="str">
        <x:v>Seed venture financing suggests minority equity; exact control/ownership terms not published or verified.</x:v>
      </x:c>
      <x:c r="F145" s="10" t="str">
        <x:v>Published company investment ticket overlaps $500K; sector or workflow relevance warrants a conditional strategic introduction.</x:v>
      </x:c>
      <x:c r="G145" s="10" t="str">
        <x:v>Published company investment ticket overlaps $500K; sector or workflow relevance warrants a conditional strategic introduction.</x:v>
      </x:c>
      <x:c r="H145"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Requires roughly$500K actual recurring revenue and10%monthly growth. Same StartUpNV/Granite investment network as other programs; fund subscriptions$50K-$2M are not company checks. Another section says$150K-$500K. 101XVC is described as an origination/acquisition/marketing operator with proprietary software, not demonstrated standalone SaaS. Another section says$150K-$500K.</x:v>
      </x:c>
      <x:c r="I145" s="10" t="str">
        <x:v>https://startupnv.org/contact/</x:v>
      </x:c>
      <x:c r="J145" s="10" t="str"/>
      <x:c r="K145" s="10" t="str">
        <x:v>https://lp.startupnv.org/1864</x:v>
      </x:c>
      <x:c r="L145" s="10" t="str"/>
      <x:c r="M145" s="10" t="str">
        <x:v>2026-09-30</x:v>
      </x:c>
    </x:row>
    <x:row r="146" ht="132" customHeight="1">
      <x:c r="A146" s="10" t="str">
        <x:v>0ec7c2d147c5a6</x:v>
      </x:c>
      <x:c r="B146" s="10" t="str">
        <x:v>2048 Ventures</x:v>
      </x:c>
      <x:c r="C146" s="10" t="str"/>
      <x:c r="D146" s="10" t="str">
        <x:v>company_investment_not_LP_subscription</x:v>
      </x:c>
      <x:c r="E146" s="10" t="str">
        <x:v>Seed venture financing suggests minority equity; exact control/ownership terms not published or verified.</x:v>
      </x:c>
      <x:c r="F146" s="10" t="str">
        <x:v>Published company investment ticket overlaps $500K; sector or workflow relevance warrants a conditional strategic introduction.</x:v>
      </x:c>
      <x:c r="G146" s="10" t="str">
        <x:v>Published company investment ticket overlaps $500K; sector or workflow relevance warrants a conditional strategic introduction.</x:v>
      </x:c>
      <x:c r="H146"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Current Fund III emphasis data moats, with no standalone software product-market-fit evidenced for proposed business. 101XVC is described as an origination/acquisition/marketing operator with proprietary software, not demonstrated standalone SaaS. Current Fund III emphasis data moats, with no standalone software product-market-fit evidenced for proposed business.</x:v>
      </x:c>
      <x:c r="I146" s="10" t="str"/>
      <x:c r="J146" s="10" t="str">
        <x:v>https://adviserinfo.sec.gov/firm/summary/305237</x:v>
      </x:c>
      <x:c r="K146" s="10" t="str">
        <x:v>https://www.2048.vc/about</x:v>
      </x:c>
      <x:c r="L146" s="10" t="str"/>
      <x:c r="M146" s="10" t="str">
        <x:v>2026-09-30</x:v>
      </x:c>
    </x:row>
    <x:row r="147" ht="147" customHeight="1">
      <x:c r="A147" s="10" t="str">
        <x:v>edfb87e19927c7</x:v>
      </x:c>
      <x:c r="B147" s="10" t="str">
        <x:v>Access Venture Partners</x:v>
      </x:c>
      <x:c r="C147" s="10" t="str"/>
      <x:c r="D147" s="10" t="str">
        <x:v>company_investment_not_LP_subscription</x:v>
      </x:c>
      <x:c r="E147" s="10" t="str">
        <x:v>Seed venture financing suggests minority equity; exact control/ownership terms not published or verified.</x:v>
      </x:c>
      <x:c r="F147" s="10" t="str">
        <x:v>Published company investment ticket overlaps $500K; sector or workflow relevance warrants a conditional strategic introduction.</x:v>
      </x:c>
      <x:c r="G147" s="10" t="str">
        <x:v>Published company investment ticket overlaps $500K; sector or workflow relevance warrants a conditional strategic introduction.</x:v>
      </x:c>
      <x:c r="H147"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Ideation through scaling accepted, but venture product and market differentiation required. 101XVC is described as an origination/acquisition/marketing operator with proprietary software, not demonstrated standalone SaaS. Ideation through scaling accepted, but venture product and market differentiation required. Current minimum check and technology/business-services fit require qualification.</x:v>
      </x:c>
      <x:c r="I147" s="10" t="str"/>
      <x:c r="J147" s="10" t="str">
        <x:v>https://adviserinfo.sec.gov/firm/summary/290236</x:v>
      </x:c>
      <x:c r="K147" s="10" t="str">
        <x:v>https://accessvp.com/our-focus/</x:v>
      </x:c>
      <x:c r="L147" s="10" t="str"/>
      <x:c r="M147" s="10" t="str">
        <x:v>2026-09-30</x:v>
      </x:c>
    </x:row>
    <x:row r="148" ht="132" customHeight="1">
      <x:c r="A148" s="10" t="str">
        <x:v>5d2b4ac01adf72</x:v>
      </x:c>
      <x:c r="B148" s="10" t="str">
        <x:v>Active Capital</x:v>
      </x:c>
      <x:c r="C148" s="10" t="str"/>
      <x:c r="D148" s="10" t="str">
        <x:v>company_investment_not_LP_subscription</x:v>
      </x:c>
      <x:c r="E148" s="10" t="str">
        <x:v>Seed venture financing suggests minority equity; exact control/ownership terms not published or verified.</x:v>
      </x:c>
      <x:c r="F148" s="10" t="str">
        <x:v>Published company investment ticket overlaps $500K; sector or workflow relevance warrants a conditional strategic introduction.</x:v>
      </x:c>
      <x:c r="G148" s="10" t="str">
        <x:v>Published company investment ticket overlaps $500K; sector or workflow relevance warrants a conditional strategic introduction.</x:v>
      </x:c>
      <x:c r="H148"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Typical first check $500K explicitly published; technical founder and software product focus. 101XVC is described as an origination/acquisition/marketing operator with proprietary software, not demonstrated standalone SaaS. Typical first check $500K explicitly published; technical founder and software product focus.</x:v>
      </x:c>
      <x:c r="I148" s="10" t="str">
        <x:v>https://active.vc/</x:v>
      </x:c>
      <x:c r="J148" s="10" t="str"/>
      <x:c r="K148" s="10" t="str">
        <x:v>https://active.vc/</x:v>
      </x:c>
      <x:c r="L148" s="10" t="str"/>
      <x:c r="M148" s="10" t="str">
        <x:v>2026-09-30</x:v>
      </x:c>
    </x:row>
    <x:row r="149" ht="132" customHeight="1">
      <x:c r="A149" s="10" t="str">
        <x:v>ddbbea7b8e23f5</x:v>
      </x:c>
      <x:c r="B149" s="10" t="str">
        <x:v>Antler US</x:v>
      </x:c>
      <x:c r="C149" s="10" t="str"/>
      <x:c r="D149" s="10" t="str">
        <x:v>company_investment_not_LP_subscription</x:v>
      </x:c>
      <x:c r="E149" s="10" t="str">
        <x:v>Seed venture financing suggests minority equity; exact control/ownership terms not published or verified.</x:v>
      </x:c>
      <x:c r="F149" s="10" t="str">
        <x:v>Published company investment ticket overlaps $500K; sector or workflow relevance warrants a conditional strategic introduction.</x:v>
      </x:c>
      <x:c r="G149" s="10" t="str">
        <x:v>Published company investment ticket overlaps $500K; sector or workflow relevance warrants a conditional strategic introduction.</x:v>
      </x:c>
      <x:c r="H149"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Residency and founding-stage program constraints; existing operator may be wrong stage. Partner credits are not cash and are not added to check range. 101XVC is described as an origination/acquisition/marketing operator with proprietary software, not demonstrated standalone SaaS. Partner credits are not cash and are not added to check range.</x:v>
      </x:c>
      <x:c r="I149" s="10" t="str"/>
      <x:c r="J149" s="10" t="str">
        <x:v>https://adviserinfo.sec.gov/firm/summary/315775</x:v>
      </x:c>
      <x:c r="K149" s="10" t="str">
        <x:v>https://www.antler.co/location/us</x:v>
      </x:c>
      <x:c r="L149" s="10" t="str"/>
      <x:c r="M149" s="10" t="str">
        <x:v>2026-09-30</x:v>
      </x:c>
    </x:row>
    <x:row r="150" ht="132" customHeight="1">
      <x:c r="A150" s="10" t="str">
        <x:v>747ae987b6246a</x:v>
      </x:c>
      <x:c r="B150" s="10" t="str">
        <x:v>Beckett Industries</x:v>
      </x:c>
      <x:c r="C150" s="10" t="str"/>
      <x:c r="D150" s="10" t="str">
        <x:v>company_investment_not_LP_subscription</x:v>
      </x:c>
      <x:c r="E150" s="10" t="str">
        <x:v>Seed venture financing suggests minority equity; exact control/ownership terms not published or verified.</x:v>
      </x:c>
      <x:c r="F150" s="10" t="str">
        <x:v>Published company investment ticket overlaps $500K; sector or workflow relevance warrants a conditional strategic introduction.</x:v>
      </x:c>
      <x:c r="G150" s="10" t="str">
        <x:v>Published company investment ticket overlaps $500K; sector or workflow relevance warrants a conditional strategic introduction.</x:v>
      </x:c>
      <x:c r="H150" s="10" t="str">
        <x:v>actual_revenue_3m_to_100m_unconfirmed;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Requires$3M-$100M actual revenue. Projected fees/EBITDA do not establish eligibility. Investor-relations mailbox is routing only; opportunity form is preferred. Predecessor track record is not firm cash. 101XVC is described as an origination/acquisition/marketing operator with proprietary software, not demonstrated standalone SaaS. Predecessor track record is not firm cash.</x:v>
      </x:c>
      <x:c r="I150" s="10" t="str">
        <x:v>https://beckettindustries.com/venture</x:v>
      </x:c>
      <x:c r="J150" s="10" t="str"/>
      <x:c r="K150" s="10" t="str">
        <x:v>https://beckettindustries.com/venture</x:v>
      </x:c>
      <x:c r="L150" s="10" t="str"/>
      <x:c r="M150" s="10" t="str">
        <x:v>2026-09-30</x:v>
      </x:c>
    </x:row>
    <x:row r="151" ht="132" customHeight="1">
      <x:c r="A151" s="10" t="str">
        <x:v>be9a5234a279c8</x:v>
      </x:c>
      <x:c r="B151" s="10" t="str">
        <x:v>Beta Boom</x:v>
      </x:c>
      <x:c r="C151" s="10" t="str"/>
      <x:c r="D151" s="10" t="str">
        <x:v>company_investment_not_LP_subscription</x:v>
      </x:c>
      <x:c r="E151" s="10" t="str">
        <x:v>Seed venture financing suggests minority equity; exact control/ownership terms not published or verified.</x:v>
      </x:c>
      <x:c r="F151" s="10" t="str">
        <x:v>Published company investment ticket overlaps $500K; sector or workflow relevance warrants a conditional strategic introduction.</x:v>
      </x:c>
      <x:c r="G151" s="10" t="str">
        <x:v>Published company investment ticket overlaps $500K; sector or workflow relevance warrants a conditional strategic introduction.</x:v>
      </x:c>
      <x:c r="H151"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Published average check band, not guaranteed min/max commitment. Bay Area companies excluded; differentiated venture product required. 101XVC is described as an origination/acquisition/marketing operator with proprietary software, not demonstrated standalone SaaS. Bay Area companies excluded; differentiated venture product required.</x:v>
      </x:c>
      <x:c r="I151" s="10" t="str"/>
      <x:c r="J151" s="10" t="str"/>
      <x:c r="K151" s="10" t="str">
        <x:v>https://www.betaboom.com/beta-boom-faqs</x:v>
      </x:c>
      <x:c r="L151" s="10" t="str"/>
      <x:c r="M151" s="10" t="str">
        <x:v>2026-09-30</x:v>
      </x:c>
    </x:row>
    <x:row r="152" ht="132" customHeight="1">
      <x:c r="A152" s="10" t="str">
        <x:v>29c7f61d4407b4</x:v>
      </x:c>
      <x:c r="B152" s="10" t="str">
        <x:v>Boost VC</x:v>
      </x:c>
      <x:c r="C152" s="10" t="str"/>
      <x:c r="D152" s="10" t="str">
        <x:v>company_investment_not_LP_subscription</x:v>
      </x:c>
      <x:c r="E152" s="10" t="str">
        <x:v>Seed venture financing suggests minority equity; exact control/ownership terms not published or verified.</x:v>
      </x:c>
      <x:c r="F152" s="10" t="str">
        <x:v>Published company investment ticket overlaps $500K; sector or workflow relevance warrants a conditional strategic introduction.</x:v>
      </x:c>
      <x:c r="G152" s="10" t="str">
        <x:v>Published company investment ticket overlaps $500K; sector or workflow relevance warrants a conditional strategic introduction.</x:v>
      </x:c>
      <x:c r="H152"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Sci-fi / frontier technical achievement focus is a material mismatch with currently described operator. $50K fellowship is a separate program, not the selected ticket. 101XVC is described as an origination/acquisition/marketing operator with proprietary software, not demonstrated standalone SaaS. $50K fellowship is a separate program, not the selected ticket.</x:v>
      </x:c>
      <x:c r="I152" s="10" t="str"/>
      <x:c r="J152" s="10" t="str">
        <x:v>https://adviserinfo.sec.gov/firm/summary/285148</x:v>
      </x:c>
      <x:c r="K152" s="10" t="str">
        <x:v>https://www.boost.vc/faq</x:v>
      </x:c>
      <x:c r="L152" s="10" t="str"/>
      <x:c r="M152" s="10" t="str">
        <x:v>2026-09-30</x:v>
      </x:c>
    </x:row>
    <x:row r="153" ht="147" customHeight="1">
      <x:c r="A153" s="10" t="str">
        <x:v>eeb57cd1d90999</x:v>
      </x:c>
      <x:c r="B153" s="10" t="str">
        <x:v>Chatham Ventures</x:v>
      </x:c>
      <x:c r="C153" s="10" t="str"/>
      <x:c r="D153" s="10" t="str">
        <x:v>company_investment_not_LP_subscription</x:v>
      </x:c>
      <x:c r="E153" s="10" t="str">
        <x:v>Seed venture financing suggests minority equity; exact control/ownership terms not published or verified.</x:v>
      </x:c>
      <x:c r="F153" s="10" t="str">
        <x:v>Published company investment ticket overlaps $500K; sector or workflow relevance warrants a conditional strategic introduction.</x:v>
      </x:c>
      <x:c r="G153" s="10" t="str">
        <x:v>Published company investment ticket overlaps $500K; sector or workflow relevance warrants a conditional strategic introduction.</x:v>
      </x:c>
      <x:c r="H153"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Current official search index supplies mandate; direct ordinary fetch has certificate compatibility failure. Requires product, revenue and market validation. Exact current primary email and phone not found; historical2014phone not used. 101XVC is described as an origination/acquisition/marketing operator with proprietary software, not demonstrated standalone SaaS. Exact current primary email and phone not found; historical2014phone not used.</x:v>
      </x:c>
      <x:c r="I153" s="10" t="str"/>
      <x:c r="J153" s="10" t="str"/>
      <x:c r="K153" s="10" t="str">
        <x:v>https://www.chathamvp.com/</x:v>
      </x:c>
      <x:c r="L153" s="10" t="str"/>
      <x:c r="M153" s="10" t="str">
        <x:v>2026-09-30</x:v>
      </x:c>
    </x:row>
    <x:row r="154" ht="132" customHeight="1">
      <x:c r="A154" s="10" t="str">
        <x:v>820289b0695da6</x:v>
      </x:c>
      <x:c r="B154" s="10" t="str">
        <x:v>Eudemian Ventures</x:v>
      </x:c>
      <x:c r="C154" s="10" t="str"/>
      <x:c r="D154" s="10" t="str">
        <x:v>company_investment_not_LP_subscription</x:v>
      </x:c>
      <x:c r="E154" s="10" t="str">
        <x:v>Seed venture financing suggests minority equity; exact control/ownership terms not published or verified.</x:v>
      </x:c>
      <x:c r="F154" s="10" t="str">
        <x:v>Published company investment ticket overlaps $500K; sector or workflow relevance warrants a conditional strategic introduction.</x:v>
      </x:c>
      <x:c r="G154" s="10" t="str">
        <x:v>Published company investment ticket overlaps $500K; sector or workflow relevance warrants a conditional strategic introduction.</x:v>
      </x:c>
      <x:c r="H154"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Does not lead rounds. Founder application available; media mailbox intentionally excluded as investment contact. 101XVC is described as an origination/acquisition/marketing operator with proprietary software, not demonstrated standalone SaaS. Founder application available; media mailbox intentionally excluded as investment contact.</x:v>
      </x:c>
      <x:c r="I154" s="10" t="str"/>
      <x:c r="J154" s="10" t="str"/>
      <x:c r="K154" s="10" t="str">
        <x:v>https://www.eudemian.vc/you-and-us</x:v>
      </x:c>
      <x:c r="L154" s="10" t="str"/>
      <x:c r="M154" s="10" t="str">
        <x:v>2026-09-30</x:v>
      </x:c>
    </x:row>
    <x:row r="155" ht="147" customHeight="1">
      <x:c r="A155" s="10" t="str">
        <x:v>0b67d9f48a5000</x:v>
      </x:c>
      <x:c r="B155" s="10" t="str">
        <x:v>Fathers Fund</x:v>
      </x:c>
      <x:c r="C155" s="10" t="str"/>
      <x:c r="D155" s="10" t="str">
        <x:v>company_investment_not_LP_subscription</x:v>
      </x:c>
      <x:c r="E155" s="10" t="str">
        <x:v>Seed venture financing suggests minority equity; exact control/ownership terms not published or verified.</x:v>
      </x:c>
      <x:c r="F155" s="10" t="str">
        <x:v>Published company investment ticket overlaps $500K; sector or workflow relevance warrants a conditional strategic introduction.</x:v>
      </x:c>
      <x:c r="G155" s="10" t="str">
        <x:v>Published company investment ticket overlaps $500K; sector or workflow relevance warrants a conditional strategic introduction.</x:v>
      </x:c>
      <x:c r="H155"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Published target ownership10%-15% is above proposed9.3%; policy is a website statement, not independently verified deployable capital. 101XVC is described as an origination/acquisition/marketing operator with proprietary software, not demonstrated standalone SaaS. Published target ownership10%-15% is above proposed9.3%; policy is a website statement, not independently verified deployable capital.</x:v>
      </x:c>
      <x:c r="I155" s="10" t="str">
        <x:v>https://www.fathers.fund/</x:v>
      </x:c>
      <x:c r="J155" s="10" t="str"/>
      <x:c r="K155" s="10" t="str">
        <x:v>https://www.fathers.fund/</x:v>
      </x:c>
      <x:c r="L155" s="10" t="str"/>
      <x:c r="M155" s="10" t="str">
        <x:v>2026-09-30</x:v>
      </x:c>
    </x:row>
    <x:row r="156" ht="147" customHeight="1">
      <x:c r="A156" s="10" t="str">
        <x:v>6c5eac1584c51c</x:v>
      </x:c>
      <x:c r="B156" s="10" t="str">
        <x:v>Great North Ventures</x:v>
      </x:c>
      <x:c r="C156" s="10" t="str"/>
      <x:c r="D156" s="10" t="str">
        <x:v>company_investment_not_LP_subscription</x:v>
      </x:c>
      <x:c r="E156" s="10" t="str">
        <x:v>Seed venture financing suggests minority equity; exact control/ownership terms not published or verified.</x:v>
      </x:c>
      <x:c r="F156" s="10" t="str">
        <x:v>Published company investment ticket overlaps $500K; sector or workflow relevance warrants a conditional strategic introduction.</x:v>
      </x:c>
      <x:c r="G156" s="10" t="str">
        <x:v>Published company investment ticket overlaps $500K; sector or workflow relevance warrants a conditional strategic introduction.</x:v>
      </x:c>
      <x:c r="H156"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Published ticket from May23,2024 FundII update; currently available website, policy freshness must be reconfirmed before treating as current offer. 101XVC is described as an origination/acquisition/marketing operator with proprietary software, not demonstrated standalone SaaS. Published ticket from May23,2024 FundII update; currently available website, policy freshness must be reconfirmed before treating as current offer.</x:v>
      </x:c>
      <x:c r="I156" s="10" t="str"/>
      <x:c r="J156" s="10" t="str">
        <x:v>https://adviserinfo.sec.gov/firm/summary/316159</x:v>
      </x:c>
      <x:c r="K156" s="10" t="str">
        <x:v>https://greatnorthventures.com/lets-celebrate-the-two-year-anniversary-of-great-north-ventures-fund-ii/</x:v>
      </x:c>
      <x:c r="L156" s="10" t="str"/>
      <x:c r="M156" s="10" t="str">
        <x:v>2026-09-30</x:v>
      </x:c>
    </x:row>
    <x:row r="157" ht="147" customHeight="1">
      <x:c r="A157" s="10" t="str">
        <x:v>7e82b6c77336db</x:v>
      </x:c>
      <x:c r="B157" s="10" t="str">
        <x:v>Hico Ventures</x:v>
      </x:c>
      <x:c r="C157" s="10" t="str"/>
      <x:c r="D157" s="10" t="str">
        <x:v>company_investment_not_LP_subscription</x:v>
      </x:c>
      <x:c r="E157" s="10" t="str">
        <x:v>Seed venture financing suggests minority equity; exact control/ownership terms not published or verified.</x:v>
      </x:c>
      <x:c r="F157" s="10" t="str">
        <x:v>Published company investment ticket overlaps $500K; sector or workflow relevance warrants a conditional strategic introduction.</x:v>
      </x:c>
      <x:c r="G157" s="10" t="str">
        <x:v>Published company investment ticket overlaps $500K; sector or workflow relevance warrants a conditional strategic introduction.</x:v>
      </x:c>
      <x:c r="H157"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AI venture economics required; digital-assets focus not directly aligned with stated real estate operator. Official site accessible through search index; direct snapshot challenge page. 101XVC is described as an origination/acquisition/marketing operator with proprietary software, not demonstrated standalone SaaS. Official site accessible through search index; direct snapshot challenge page.</x:v>
      </x:c>
      <x:c r="I157" s="10" t="str"/>
      <x:c r="J157" s="10" t="str"/>
      <x:c r="K157" s="10" t="str">
        <x:v>https://hico.vc/</x:v>
      </x:c>
      <x:c r="L157" s="10" t="str"/>
      <x:c r="M157" s="10" t="str">
        <x:v>2026-09-30</x:v>
      </x:c>
    </x:row>
    <x:row r="158" ht="147" customHeight="1">
      <x:c r="A158" s="10" t="str">
        <x:v>98955958621f4c</x:v>
      </x:c>
      <x:c r="B158" s="10" t="str">
        <x:v>Homegrown Capital</x:v>
      </x:c>
      <x:c r="C158" s="10" t="str"/>
      <x:c r="D158" s="10" t="str">
        <x:v>company_investment_not_LP_subscription</x:v>
      </x:c>
      <x:c r="E158" s="10" t="str">
        <x:v>Seed venture financing suggests minority equity; exact control/ownership terms not published or verified.</x:v>
      </x:c>
      <x:c r="F158" s="10" t="str">
        <x:v>Published company investment ticket overlaps $500K; sector or workflow relevance warrants a conditional strategic introduction.</x:v>
      </x:c>
      <x:c r="G158" s="10" t="str">
        <x:v>Published company investment ticket overlaps $500K; sector or workflow relevance warrants a conditional strategic introduction.</x:v>
      </x:c>
      <x:c r="H158"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Existing customer revenue, strong technology,10xgrowth and5-7year exit required; projectedfees and potential M&amp;A discussion do not satisfy these requirements. 101XVC is described as an origination/acquisition/marketing operator with proprietary software, not demonstrated standalone SaaS. Existing customer revenue, strong technology,10xgrowth and5-7year exit required; projectedfees and potential M&amp;A discussion do not satisfy these requirements.</x:v>
      </x:c>
      <x:c r="I158" s="10" t="str"/>
      <x:c r="J158" s="10" t="str"/>
      <x:c r="K158" s="10" t="str">
        <x:v>https://homegrown.capital/</x:v>
      </x:c>
      <x:c r="L158" s="10" t="str"/>
      <x:c r="M158" s="10" t="str">
        <x:v>2026-09-30</x:v>
      </x:c>
    </x:row>
    <x:row r="159" ht="132" customHeight="1">
      <x:c r="A159" s="10" t="str">
        <x:v>75aa260d3b7af3</x:v>
      </x:c>
      <x:c r="B159" s="10" t="str">
        <x:v>JCG Capital</x:v>
      </x:c>
      <x:c r="C159" s="10" t="str"/>
      <x:c r="D159" s="10" t="str">
        <x:v>company_investment_not_LP_subscription</x:v>
      </x:c>
      <x:c r="E159" s="10" t="str">
        <x:v>Seed venture financing suggests minority equity; exact control/ownership terms not published or verified.</x:v>
      </x:c>
      <x:c r="F159" s="10" t="str">
        <x:v>Published company investment ticket overlaps $500K; sector or workflow relevance warrants a conditional strategic introduction.</x:v>
      </x:c>
      <x:c r="G159" s="10" t="str">
        <x:v>Published company investment ticket overlaps $500K; sector or workflow relevance warrants a conditional strategic introduction.</x:v>
      </x:c>
      <x:c r="H159"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Venture check range is used; separate property acquisition ticket $50K-$5M is not an unsecured corporate financing mandate. 101XVC is described as an origination/acquisition/marketing operator with proprietary software, not demonstrated standalone SaaS. Venture check range is used; separate property acquisition ticket $50K-$5M is not an unsecured corporate financing mandate.</x:v>
      </x:c>
      <x:c r="I159" s="10" t="str"/>
      <x:c r="J159" s="10" t="str"/>
      <x:c r="K159" s="10" t="str">
        <x:v>https://jcgcapital.llc/thesis</x:v>
      </x:c>
      <x:c r="L159" s="10" t="str"/>
      <x:c r="M159" s="10" t="str">
        <x:v>2026-09-30</x:v>
      </x:c>
    </x:row>
    <x:row r="160" ht="132" customHeight="1">
      <x:c r="A160" s="10" t="str">
        <x:v>df7f79f74af197</x:v>
      </x:c>
      <x:c r="B160" s="10" t="str">
        <x:v>Kickstart</x:v>
      </x:c>
      <x:c r="C160" s="10" t="str"/>
      <x:c r="D160" s="10" t="str">
        <x:v>company_investment_not_LP_subscription</x:v>
      </x:c>
      <x:c r="E160" s="10" t="str">
        <x:v>Published meaningful double-digit lead ownership target; minority inferred, exact9.3% unconfirmed.</x:v>
      </x:c>
      <x:c r="F160" s="10" t="str">
        <x:v>Published company investment ticket overlaps $500K; sector or workflow relevance warrants a conditional strategic introduction.</x:v>
      </x:c>
      <x:c r="G160" s="10" t="str">
        <x:v>Published company investment ticket overlaps $500K; sector or workflow relevance warrants a conditional strategic introduction.</x:v>
      </x:c>
      <x:c r="H160"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Meaningful double-digit lead ownership target exceeds9.3%; MountainWest geographic fit must be established. 101XVC is described as an origination/acquisition/marketing operator with proprietary software, not demonstrated standalone SaaS. Meaningful double-digit lead ownership target exceeds9.3%; MountainWest geographic fit must be established.</x:v>
      </x:c>
      <x:c r="I160" s="10" t="str"/>
      <x:c r="J160" s="10" t="str">
        <x:v>https://adviserinfo.sec.gov/firm/summary/167541</x:v>
      </x:c>
      <x:c r="K160" s="10" t="str">
        <x:v>https://kickstart.com/faq</x:v>
      </x:c>
      <x:c r="L160" s="10" t="str"/>
      <x:c r="M160" s="10" t="str">
        <x:v>2026-09-30</x:v>
      </x:c>
    </x:row>
    <x:row r="161" ht="117" customHeight="1">
      <x:c r="A161" s="10" t="str">
        <x:v>1fb70ccdec255a</x:v>
      </x:c>
      <x:c r="B161" s="10" t="str">
        <x:v>Motivate Venture Capital</x:v>
      </x:c>
      <x:c r="C161" s="10" t="str"/>
      <x:c r="D161" s="10" t="str">
        <x:v>company_investment_not_LP_subscription</x:v>
      </x:c>
      <x:c r="E161" s="10" t="str">
        <x:v>Seed venture financing suggests minority equity; exact control/ownership terms not published or verified.</x:v>
      </x:c>
      <x:c r="F161" s="10" t="str">
        <x:v>Published company investment ticket overlaps $500K; sector or workflow relevance warrants a conditional strategic introduction.</x:v>
      </x:c>
      <x:c r="G161" s="10" t="str">
        <x:v>Published company investment ticket overlaps $500K; sector or workflow relevance warrants a conditional strategic introduction.</x:v>
      </x:c>
      <x:c r="H161"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Selected pre-seed ticket, not larger seed minimum. Technology and growth case needs evidence. 101XVC is described as an origination/acquisition/marketing operator with proprietary software, not demonstrated standalone SaaS. Technology and growth case needs evidence.</x:v>
      </x:c>
      <x:c r="I161" s="10" t="str"/>
      <x:c r="J161" s="10" t="str">
        <x:v>https://adviserinfo.sec.gov/firm/summary/314339</x:v>
      </x:c>
      <x:c r="K161" s="10" t="str">
        <x:v>https://www.motivate.vc/</x:v>
      </x:c>
      <x:c r="L161" s="10" t="str"/>
      <x:c r="M161" s="10" t="str">
        <x:v>2026-09-30</x:v>
      </x:c>
    </x:row>
    <x:row r="162" ht="132" customHeight="1">
      <x:c r="A162" s="10" t="str">
        <x:v>d6a87bb6835ffe</x:v>
      </x:c>
      <x:c r="B162" s="10" t="str">
        <x:v>New Stack Ventures</x:v>
      </x:c>
      <x:c r="C162" s="10" t="str"/>
      <x:c r="D162" s="10" t="str">
        <x:v>company_investment_not_LP_subscription</x:v>
      </x:c>
      <x:c r="E162" s="10" t="str">
        <x:v>Seed venture financing suggests minority equity; exact control/ownership terms not published or verified.</x:v>
      </x:c>
      <x:c r="F162" s="10" t="str">
        <x:v>Published company investment ticket overlaps $500K; sector or workflow relevance warrants a conditional strategic introduction.</x:v>
      </x:c>
      <x:c r="G162" s="10" t="str">
        <x:v>Published company investment ticket overlaps $500K; sector or workflow relevance warrants a conditional strategic introduction.</x:v>
      </x:c>
      <x:c r="H162"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Pre-revenue and pilot stages supported, but scalable product and technology moat must be established. 101XVC is described as an origination/acquisition/marketing operator with proprietary software, not demonstrated standalone SaaS. Pre-revenue and pilot stages supported, but scalable product and technology moat must be established.</x:v>
      </x:c>
      <x:c r="I162" s="10" t="str"/>
      <x:c r="J162" s="10" t="str">
        <x:v>https://adviserinfo.sec.gov/firm/summary/317702</x:v>
      </x:c>
      <x:c r="K162" s="10" t="str">
        <x:v>https://www.newstack.com/</x:v>
      </x:c>
      <x:c r="L162" s="10" t="str"/>
      <x:c r="M162" s="10" t="str">
        <x:v>2026-09-30</x:v>
      </x:c>
    </x:row>
    <x:row r="163" ht="147" customHeight="1">
      <x:c r="A163" s="10" t="str">
        <x:v>f7f21fe2fc3c7e</x:v>
      </x:c>
      <x:c r="B163" s="10" t="str">
        <x:v>OpAmp Capital</x:v>
      </x:c>
      <x:c r="C163" s="10" t="str"/>
      <x:c r="D163" s="10" t="str">
        <x:v>company_investment_not_LP_subscription</x:v>
      </x:c>
      <x:c r="E163" s="10" t="str">
        <x:v>Seed venture financing suggests minority equity; exact control/ownership terms not published or verified.</x:v>
      </x:c>
      <x:c r="F163" s="10" t="str">
        <x:v>Published company investment ticket overlaps $500K; sector or workflow relevance warrants a conditional strategic introduction.</x:v>
      </x:c>
      <x:c r="G163" s="10" t="str">
        <x:v>Published company investment ticket overlaps $500K; sector or workflow relevance warrants a conditional strategic introduction.</x:v>
      </x:c>
      <x:c r="H163"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U.S. local offices are published. Frontier technology/technical-team preference is a material model mismatch; co-invests with established VCs rather than offering fulfillment debt. 101XVC is described as an origination/acquisition/marketing operator with proprietary software, not demonstrated standalone SaaS. Frontier technology/technical-team preference is a material model mismatch; co-invests with established VCs rather than offering fulfillment debt.</x:v>
      </x:c>
      <x:c r="I163" s="10" t="str"/>
      <x:c r="J163" s="10" t="str"/>
      <x:c r="K163" s="10" t="str">
        <x:v>https://www.opampcap.com/</x:v>
      </x:c>
      <x:c r="L163" s="10" t="str"/>
      <x:c r="M163" s="10" t="str">
        <x:v>2026-09-30</x:v>
      </x:c>
    </x:row>
    <x:row r="164" ht="132" customHeight="1">
      <x:c r="A164" s="10" t="str">
        <x:v>b27be08056828c</x:v>
      </x:c>
      <x:c r="B164" s="10" t="str">
        <x:v>ScOp Venture Capital</x:v>
      </x:c>
      <x:c r="C164" s="10" t="str"/>
      <x:c r="D164" s="10" t="str">
        <x:v>company_investment_not_LP_subscription</x:v>
      </x:c>
      <x:c r="E164" s="10" t="str">
        <x:v>Seed venture financing suggests minority equity; exact control/ownership terms not published or verified.</x:v>
      </x:c>
      <x:c r="F164" s="10" t="str">
        <x:v>Published company investment ticket overlaps $500K; sector or workflow relevance warrants a conditional strategic introduction.</x:v>
      </x:c>
      <x:c r="G164" s="10" t="str">
        <x:v>Published company investment ticket overlaps $500K; sector or workflow relevance warrants a conditional strategic introduction.</x:v>
      </x:c>
      <x:c r="H164"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Published focus$400K-$2M actual ARR with early product-market-fit; projected fees are not ARR. Pitch form available; no exact published investment email yet. 101XVC is described as an origination/acquisition/marketing operator with proprietary software, not demonstrated standalone SaaS. Pitch form available; no exact published investment email yet.</x:v>
      </x:c>
      <x:c r="I164" s="10" t="str"/>
      <x:c r="J164" s="10" t="str">
        <x:v>https://adviserinfo.sec.gov/firm/summary/331287</x:v>
      </x:c>
      <x:c r="K164" s="10" t="str">
        <x:v>https://scopvc.com/</x:v>
      </x:c>
      <x:c r="L164" s="10" t="str"/>
      <x:c r="M164" s="10" t="str">
        <x:v>2026-09-30</x:v>
      </x:c>
    </x:row>
    <x:row r="165" ht="132" customHeight="1">
      <x:c r="A165" s="10" t="str">
        <x:v>f45b366ebc3b3f</x:v>
      </x:c>
      <x:c r="B165" s="10" t="str">
        <x:v>Startup Ignition Ventures</x:v>
      </x:c>
      <x:c r="C165" s="10" t="str"/>
      <x:c r="D165" s="10" t="str">
        <x:v>company_investment_not_LP_subscription</x:v>
      </x:c>
      <x:c r="E165" s="10" t="str">
        <x:v>Seed venture financing suggests minority equity; exact control/ownership terms not published or verified.</x:v>
      </x:c>
      <x:c r="F165" s="10" t="str">
        <x:v>Published company investment ticket overlaps $500K; sector or workflow relevance warrants a conditional strategic introduction.</x:v>
      </x:c>
      <x:c r="G165" s="10" t="str">
        <x:v>Published company investment ticket overlaps $500K; sector or workflow relevance warrants a conditional strategic introduction.</x:v>
      </x:c>
      <x:c r="H165"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Typical range used; homepage broad$100K-$1M. Actual product and founder market validation required; bootcamp is a separate service. 101XVC is described as an origination/acquisition/marketing operator with proprietary software, not demonstrated standalone SaaS. Actual product and founder market validation required; bootcamp is a separate service.</x:v>
      </x:c>
      <x:c r="I165" s="10" t="str"/>
      <x:c r="J165" s="10" t="str"/>
      <x:c r="K165" s="10" t="str">
        <x:v>https://www.startupignition.com/ventures/about/</x:v>
      </x:c>
      <x:c r="L165" s="10" t="str"/>
      <x:c r="M165" s="10" t="str">
        <x:v>2026-09-30</x:v>
      </x:c>
    </x:row>
    <x:row r="166" ht="132" customHeight="1">
      <x:c r="A166" s="10" t="str">
        <x:v>f64b7cd174c8c6</x:v>
      </x:c>
      <x:c r="B166" s="10" t="str">
        <x:v>Victorum Capital</x:v>
      </x:c>
      <x:c r="C166" s="10" t="str"/>
      <x:c r="D166" s="10" t="str">
        <x:v>company_investment_not_LP_subscription</x:v>
      </x:c>
      <x:c r="E166" s="10" t="str">
        <x:v>Seed venture financing suggests minority equity; exact control/ownership terms not published or verified.</x:v>
      </x:c>
      <x:c r="F166" s="10" t="str">
        <x:v>Published company investment ticket overlaps $500K; sector or workflow relevance warrants a conditional strategic introduction.</x:v>
      </x:c>
      <x:c r="G166" s="10" t="str">
        <x:v>Published company investment ticket overlaps $500K; sector or workflow relevance warrants a conditional strategic introduction.</x:v>
      </x:c>
      <x:c r="H166"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Requires early customer traction and scalable technology differentiation. Public contact route currently LinkedIn, no verified email/phone collected. 101XVC is described as an origination/acquisition/marketing operator with proprietary software, not demonstrated standalone SaaS. Public contact route currently LinkedIn, no verified email/phone collected.</x:v>
      </x:c>
      <x:c r="I166" s="10" t="str"/>
      <x:c r="J166" s="10" t="str"/>
      <x:c r="K166" s="10" t="str">
        <x:v>https://victorumcapital.com/investment-criteria/</x:v>
      </x:c>
      <x:c r="L166" s="10" t="str"/>
      <x:c r="M166" s="10" t="str">
        <x:v>2026-09-30</x:v>
      </x:c>
    </x:row>
    <x:row r="167" ht="147" customHeight="1">
      <x:c r="A167" s="10" t="str">
        <x:v>7c19da5fdeee78</x:v>
      </x:c>
      <x:c r="B167" s="10" t="str">
        <x:v>VITALIZE Venture Capital</x:v>
      </x:c>
      <x:c r="C167" s="10" t="str"/>
      <x:c r="D167" s="10" t="str">
        <x:v>company_investment_not_LP_subscription</x:v>
      </x:c>
      <x:c r="E167" s="10" t="str">
        <x:v>Seed venture financing suggests minority equity; exact control/ownership terms not published or verified.</x:v>
      </x:c>
      <x:c r="F167" s="10" t="str">
        <x:v>Published company investment ticket overlaps $500K; sector or workflow relevance warrants a conditional strategic introduction.</x:v>
      </x:c>
      <x:c r="G167" s="10" t="str">
        <x:v>Published company investment ticket overlaps $500K; sector or workflow relevance warrants a conditional strategic introduction.</x:v>
      </x:c>
      <x:c r="H167" s="10" t="str">
        <x:v>software_and_venture_growth_unconfirmed; 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Separate from VITALIZE Angels legacy program; corporate equity fund requires horizontal/vertical software solving major work-flow pain point. 101XVC is described as an origination/acquisition/marketing operator with proprietary software, not demonstrated standalone SaaS. Separate from VITALIZE Angels legacy program; corporate equity fund requires horizontal/vertical software solving major work-flow pain point.</x:v>
      </x:c>
      <x:c r="I167" s="10" t="str"/>
      <x:c r="J167" s="10" t="str">
        <x:v>https://adviserinfo.sec.gov/firm/summary/317965</x:v>
      </x:c>
      <x:c r="K167" s="10" t="str">
        <x:v>https://www.vitalize.vc/about/</x:v>
      </x:c>
      <x:c r="L167" s="10" t="str"/>
      <x:c r="M167" s="10" t="str">
        <x:v>2026-09-30</x:v>
      </x:c>
    </x:row>
    <x:row r="168" ht="132" customHeight="1">
      <x:c r="A168" s="10" t="str">
        <x:v>5d6733f4db0e51</x:v>
      </x:c>
      <x:c r="B168" s="10" t="str">
        <x:v>757 Angels, Inc.</x:v>
      </x:c>
      <x:c r="C168" s="10" t="str"/>
      <x:c r="D168" s="10" t="str">
        <x:v>collective_group_or_fund_unless_explicitly_stated</x:v>
      </x:c>
      <x:c r="E168" s="10" t="str">
        <x:v>ACA publicly labels this named organization Network. This establishes a group/fund discovery route, not an individual cash commitment.</x:v>
      </x:c>
      <x:c r="F168" s="10" t="str">
        <x:v>Regional angel investment in scalable innovation companies through SPVs and mentoring.</x:v>
      </x:c>
      <x:c r="G168" s="10" t="str">
        <x:v>Unconfirmed route for company equity. No proof of willingness or available $500K cash for this specific offer.</x:v>
      </x:c>
      <x:c r="H168" s="10" t="str">
        <x:v>Current investment qualifications and company-growth thesis must be met; official parent application/contact page is the usable route. Group/fund route; does not identify a single person able or willing to invest $500K.; No investor commitment, liquid-cash proof, approval of proposed 9.3%/8% terms or guaranteed return has been established.; Former linked angel-domain returned unrelated casino content; use the live 757 Collab parent route. No email or phone inferred from the stale domain.; No usable publicly published group business email found in reviewed pages; use the official application/contact route.; No publicly published group business phone found in reviewed pages.</x:v>
      </x:c>
      <x:c r="I168" s="10" t="str"/>
      <x:c r="J168" s="10" t="str"/>
      <x:c r="K168" s="10" t="str">
        <x:v>https://757collab.org/angels/</x:v>
      </x:c>
      <x:c r="L168" s="10" t="str"/>
      <x:c r="M168" s="10" t="str">
        <x:v>2026-09-30</x:v>
      </x:c>
    </x:row>
    <x:row r="169" ht="117" customHeight="1">
      <x:c r="A169" s="10" t="str">
        <x:v>8d70005f943772</x:v>
      </x:c>
      <x:c r="B169" s="10" t="str">
        <x:v>Aggie Angel Network</x:v>
      </x:c>
      <x:c r="C169" s="10" t="str"/>
      <x:c r="D169" s="10" t="str">
        <x:v>collective_group_or_fund_unless_explicitly_stated</x:v>
      </x:c>
      <x:c r="E169" s="10" t="str">
        <x:v>ACA publicly labels this named organization Network. This establishes a group/fund discovery route, not an individual cash commitment.</x:v>
      </x:c>
      <x:c r="F169" s="10" t="str">
        <x:v>Public ACA angel network; precise operating-company mandate needs confirmation.</x:v>
      </x:c>
      <x:c r="G169" s="10" t="str">
        <x:v>Unconfirmed route for company equity. No proof of willingness or available $500K cash for this specific offer.</x:v>
      </x:c>
      <x:c r="H169" s="10" t="str">
        <x:v>Aggie ecosystem and Texas A&amp;M core-value alignment; exact founder affiliation needs confirmation. Founder eligibility has not been established for 101XVC. Group/fund route; does not identify a single person able or willing to invest $500K.; No investor commitment, liquid-cash proof, approval of proposed 9.3%/8% terms or guaranteed return has been established.; University/network affinity must be checked; membership affiliation is not automatically an applicant requirement.; No publicly published group business phone found in reviewed pages.</x:v>
      </x:c>
      <x:c r="I169" s="10" t="str">
        <x:v>https://www.aggieangelnetwork.com/</x:v>
      </x:c>
      <x:c r="J169" s="10" t="str"/>
      <x:c r="K169" s="10" t="str">
        <x:v>https://www.aggieangelnetwork.com/</x:v>
      </x:c>
      <x:c r="L169" s="10" t="str"/>
      <x:c r="M169" s="10" t="str">
        <x:v>2026-09-30</x:v>
      </x:c>
    </x:row>
    <x:row r="170" ht="87" customHeight="1">
      <x:c r="A170" s="10" t="str">
        <x:v>758810a3f19484</x:v>
      </x:c>
      <x:c r="B170" s="10" t="str">
        <x:v>Alliance of Angels</x:v>
      </x:c>
      <x:c r="C170" s="10" t="str"/>
      <x:c r="D170" s="10" t="str">
        <x:v>collective_group_or_fund_unless_explicitly_stated</x:v>
      </x:c>
      <x:c r="E170" s="10" t="str">
        <x:v>ACA publicly labels this named organization Network. This establishes a group/fund discovery route, not an individual cash commitment.</x:v>
      </x:c>
      <x:c r="F170" s="10" t="str">
        <x:v>Sector-agnostic seed/early-stage investing, including SaaS, AI, life sciences, manufacturing, retail and food.</x:v>
      </x:c>
      <x:c r="G170" s="10" t="str">
        <x:v>Conditional operating-company equity/syndication route based on published broad mandate or check size. Venture scalability, revenue proof and all eligibility conditions still require diligence.</x:v>
      </x:c>
      <x:c r="H170" s="10" t="str">
        <x:v>C-corporation; excludes LLCs, S-corporations and nonprofits; extraordinary founders and scalable opportunity. Group/fund route; does not identify a single person able or willing to invest $500K.; No investor commitment, liquid-cash proof, approval of proposed 9.3%/8% terms or guaranteed return has been established.; No publicly published group business phone found in reviewed pages.</x:v>
      </x:c>
      <x:c r="I170" s="10" t="str">
        <x:v>https://www.allianceofangels.com/</x:v>
      </x:c>
      <x:c r="J170" s="10" t="str"/>
      <x:c r="K170" s="10" t="str">
        <x:v>https://www.allianceofangels.com/investment-criteria-and-process</x:v>
      </x:c>
      <x:c r="L170" s="10" t="str"/>
      <x:c r="M170" s="10" t="str">
        <x:v>2026-09-30</x:v>
      </x:c>
    </x:row>
    <x:row r="171" ht="117" customHeight="1">
      <x:c r="A171" s="10" t="str">
        <x:v>85c1106f3a49cf</x:v>
      </x:c>
      <x:c r="B171" s="10" t="str">
        <x:v>Atlanta Technology Angels</x:v>
      </x:c>
      <x:c r="C171" s="10" t="str"/>
      <x:c r="D171" s="10" t="str">
        <x:v>collective_group_or_fund_unless_explicitly_stated</x:v>
      </x:c>
      <x:c r="E171" s="10" t="str">
        <x:v>ACA publicly labels this named organization Network. This establishes a group/fund discovery route, not an individual cash commitment.</x:v>
      </x:c>
      <x:c r="F171" s="10" t="str">
        <x:v>Public ACA angel network; precise operating-company mandate needs confirmation.</x:v>
      </x:c>
      <x:c r="G171" s="10" t="str">
        <x:v>Unconfirmed route for company equity. No proof of willingness or available $500K cash for this specific offer.</x:v>
      </x:c>
      <x:c r="H171"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 No publicly published group business phone found in reviewed pages.</x:v>
      </x:c>
      <x:c r="I171" s="10" t="str"/>
      <x:c r="J171" s="10" t="str"/>
      <x:c r="K171" s="10" t="str">
        <x:v>https://angelcapitalassociation.growthzoneapp.com/publicdirectory/Details/atlanta-technology-angels-3955265</x:v>
      </x:c>
      <x:c r="L171" s="10" t="str"/>
      <x:c r="M171" s="10" t="str">
        <x:v>2026-09-30</x:v>
      </x:c>
    </x:row>
    <x:row r="172" ht="102" customHeight="1">
      <x:c r="A172" s="10" t="str">
        <x:v>16c2493aba4499</x:v>
      </x:c>
      <x:c r="B172" s="10" t="str">
        <x:v>Bellingham Angel Investors</x:v>
      </x:c>
      <x:c r="C172" s="10" t="str"/>
      <x:c r="D172" s="10" t="str">
        <x:v>collective_group_or_fund_unless_explicitly_stated</x:v>
      </x:c>
      <x:c r="E172" s="10" t="str">
        <x:v>ACA publicly labels this named organization Network. This establishes a group/fund discovery route, not an individual cash commitment.</x:v>
      </x:c>
      <x:c r="F172" s="10" t="str">
        <x:v>Segment-agnostic early-stage ventures; affiliated angel/VC syndication.</x:v>
      </x:c>
      <x:c r="G172" s="10" t="str">
        <x:v>Conditional operating-company equity/syndication route based on published broad mandate or check size. Venture scalability, revenue proof and all eligibility conditions still require diligence.</x:v>
      </x:c>
      <x:c r="H172" s="10" t="str">
        <x:v>Unique product or solution, unmet market need and strong team.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 No publicly published group business phone found in reviewed pages.</x:v>
      </x:c>
      <x:c r="I172" s="10" t="str"/>
      <x:c r="J172" s="10" t="str"/>
      <x:c r="K172" s="10" t="str">
        <x:v>https://www.bellinghamangelinvestors.com/Home/Funding</x:v>
      </x:c>
      <x:c r="L172" s="10" t="str"/>
      <x:c r="M172" s="10" t="str">
        <x:v>2026-09-30</x:v>
      </x:c>
    </x:row>
    <x:row r="173" ht="102" customHeight="1">
      <x:c r="A173" s="10" t="str">
        <x:v>666fbe087d33fe</x:v>
      </x:c>
      <x:c r="B173" s="10" t="str">
        <x:v>Buffalo Angel Network</x:v>
      </x:c>
      <x:c r="C173" s="10" t="str"/>
      <x:c r="D173" s="10" t="str">
        <x:v>collective_group_or_fund_unless_explicitly_stated</x:v>
      </x:c>
      <x:c r="E173" s="10" t="str">
        <x:v>ACA publicly labels this named organization Network. This establishes a group/fund discovery route, not an individual cash commitment.</x:v>
      </x:c>
      <x:c r="F173" s="10" t="str">
        <x:v>Public ACA angel network; precise operating-company mandate needs confirmation.</x:v>
      </x:c>
      <x:c r="G173" s="10" t="str">
        <x:v>Unconfirmed route for company equity. No proof of willingness or available $500K cash for this specific offer.</x:v>
      </x:c>
      <x:c r="H173"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x:v>
      </x:c>
      <x:c r="I173" s="10" t="str"/>
      <x:c r="J173" s="10" t="str">
        <x:v>https://www.wnyventure.com/contact-us</x:v>
      </x:c>
      <x:c r="K173" s="10" t="str">
        <x:v>https://angelcapitalassociation.growthzoneapp.com/publicdirectory/Details/buffalo-angel-network-3955193</x:v>
      </x:c>
      <x:c r="L173" s="10" t="str"/>
      <x:c r="M173" s="10" t="str">
        <x:v>2026-09-30</x:v>
      </x:c>
    </x:row>
    <x:row r="174" ht="117" customHeight="1">
      <x:c r="A174" s="10" t="str">
        <x:v>5ce0383156edc7</x:v>
      </x:c>
      <x:c r="B174" s="10" t="str">
        <x:v>Carolina Angel Network</x:v>
      </x:c>
      <x:c r="C174" s="10" t="str"/>
      <x:c r="D174" s="10" t="str">
        <x:v>collective_group_or_fund_unless_explicitly_stated</x:v>
      </x:c>
      <x:c r="E174" s="10" t="str">
        <x:v>ACA publicly labels this named organization Network. This establishes a group/fund discovery route, not an individual cash commitment.</x:v>
      </x:c>
      <x:c r="F174" s="10" t="str">
        <x:v>Public ACA angel network; precise operating-company mandate needs confirmation.</x:v>
      </x:c>
      <x:c r="G174" s="10" t="str">
        <x:v>Unconfirmed route for company equity. No proof of willingness or available $500K cash for this specific offer.</x:v>
      </x:c>
      <x:c r="H174" s="10" t="str">
        <x:v>UNC-affiliated founder, executive or board member; stage-specific revenue and growth requirements. Founder eligibility has not been established for 101XVC. Group/fund route; does not identify a single person able or willing to invest $500K.; No investor commitment, liquid-cash proof, approval of proposed 9.3%/8% terms or guaranteed return has been established.; University/network affinity must be checked; membership affiliation is not automatically an applicant requirement.; No publicly published group business phone found in reviewed pages.</x:v>
      </x:c>
      <x:c r="I174" s="10" t="str">
        <x:v>https://www.carolinaangelnetwork.com/contact</x:v>
      </x:c>
      <x:c r="J174" s="10" t="str"/>
      <x:c r="K174" s="10" t="str">
        <x:v>https://www.carolinaangelnetwork.com/faqs</x:v>
      </x:c>
      <x:c r="L174" s="10" t="str"/>
      <x:c r="M174" s="10" t="str">
        <x:v>2026-09-30</x:v>
      </x:c>
    </x:row>
    <x:row r="175" ht="117" customHeight="1">
      <x:c r="A175" s="10" t="str">
        <x:v>ef6c893523fcf0</x:v>
      </x:c>
      <x:c r="B175" s="10" t="str">
        <x:v>CAV Angels</x:v>
      </x:c>
      <x:c r="C175" s="10" t="str"/>
      <x:c r="D175" s="10" t="str">
        <x:v>collective_group_or_fund_unless_explicitly_stated</x:v>
      </x:c>
      <x:c r="E175" s="10" t="str">
        <x:v>ACA publicly labels this named organization Network. This establishes a group/fund discovery route, not an individual cash commitment.</x:v>
      </x:c>
      <x:c r="F175" s="10" t="str">
        <x:v>Public ACA angel network; precise operating-company mandate needs confirmation.</x:v>
      </x:c>
      <x:c r="G175" s="10" t="str">
        <x:v>Unconfirmed route for company equity. No proof of willingness or available $500K cash for this specific offer.</x:v>
      </x:c>
      <x:c r="H175" s="10" t="str">
        <x:v>University of Virginia connection. Founder eligibility has not been established for 101XVC. Group/fund route; does not identify a single person able or willing to invest $500K.; No investor commitment, liquid-cash proof, approval of proposed 9.3%/8% terms or guaranteed return has been established.; University/network affinity must be checked; membership affiliation is not automatically an applicant requirement.; No usable publicly published group business email found in reviewed pages; use the official application/contact route.</x:v>
      </x:c>
      <x:c r="I175" s="10" t="str"/>
      <x:c r="J175" s="10" t="str">
        <x:v>https://cavangels.com/contact-us/</x:v>
      </x:c>
      <x:c r="K175" s="10" t="str">
        <x:v>https://cavangels.com/</x:v>
      </x:c>
      <x:c r="L175" s="10" t="str"/>
      <x:c r="M175" s="10" t="str">
        <x:v>2026-09-30</x:v>
      </x:c>
    </x:row>
    <x:row r="176" ht="117" customHeight="1">
      <x:c r="A176" s="10" t="str">
        <x:v>cb79e1ee3f6529</x:v>
      </x:c>
      <x:c r="B176" s="10" t="str">
        <x:v>Charleston Angel Partners</x:v>
      </x:c>
      <x:c r="C176" s="10" t="str"/>
      <x:c r="D176" s="10" t="str">
        <x:v>collective_group_or_fund_unless_explicitly_stated</x:v>
      </x:c>
      <x:c r="E176" s="10" t="str">
        <x:v>ACA publicly labels this named organization Network. This establishes a group/fund discovery route, not an individual cash commitment.</x:v>
      </x:c>
      <x:c r="F176" s="10" t="str">
        <x:v>Public ACA angel network; precise operating-company mandate needs confirmation.</x:v>
      </x:c>
      <x:c r="G176" s="10" t="str">
        <x:v>Unconfirmed route for company equity. No proof of willingness or available $500K cash for this specific offer.</x:v>
      </x:c>
      <x:c r="H176"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 No publicly published group business phone found in reviewed pages.</x:v>
      </x:c>
      <x:c r="I176" s="10" t="str"/>
      <x:c r="J176" s="10" t="str"/>
      <x:c r="K176" s="10" t="str">
        <x:v>https://angelcapitalassociation.growthzoneapp.com/publicdirectory/Details/charleston-angel-partners-3920494</x:v>
      </x:c>
      <x:c r="L176" s="10" t="str"/>
      <x:c r="M176" s="10" t="str">
        <x:v>2026-09-30</x:v>
      </x:c>
    </x:row>
    <x:row r="177" ht="87" customHeight="1">
      <x:c r="A177" s="10" t="str">
        <x:v>247a1dcc6f79d5</x:v>
      </x:c>
      <x:c r="B177" s="10" t="str">
        <x:v>Country Roads Angel Network, LLC</x:v>
      </x:c>
      <x:c r="C177" s="10" t="str"/>
      <x:c r="D177" s="10" t="str">
        <x:v>collective_group_or_fund_unless_explicitly_stated</x:v>
      </x:c>
      <x:c r="E177" s="10" t="str">
        <x:v>ACA publicly labels this named organization Network. This establishes a group/fund discovery route, not an individual cash commitment.</x:v>
      </x:c>
      <x:c r="F177" s="10" t="str">
        <x:v>Public ACA angel network; precise operating-company mandate needs confirmation.</x:v>
      </x:c>
      <x:c r="G177" s="10" t="str">
        <x:v>Unconfirmed route for company equity. No proof of willingness or available $500K cash for this specific offer.</x:v>
      </x:c>
      <x:c r="H177"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publicly published group business phone found in reviewed pages.</x:v>
      </x:c>
      <x:c r="I177" s="10" t="str">
        <x:v>https://wvcran.com/contact/</x:v>
      </x:c>
      <x:c r="J177" s="10" t="str"/>
      <x:c r="K177" s="10" t="str">
        <x:v>https://angelcapitalassociation.growthzoneapp.com/publicdirectory/Details/country-roads-angel-network-llc-3955225</x:v>
      </x:c>
      <x:c r="L177" s="10" t="str"/>
      <x:c r="M177" s="10" t="str">
        <x:v>2026-09-30</x:v>
      </x:c>
    </x:row>
    <x:row r="178" ht="102" customHeight="1">
      <x:c r="A178" s="10" t="str">
        <x:v>aa7444cda86073</x:v>
      </x:c>
      <x:c r="B178" s="10" t="str">
        <x:v>Countryside Angels</x:v>
      </x:c>
      <x:c r="C178" s="10" t="str"/>
      <x:c r="D178" s="10" t="str">
        <x:v>collective_group_or_fund_unless_explicitly_stated</x:v>
      </x:c>
      <x:c r="E178" s="10" t="str">
        <x:v>ACA publicly labels this named organization Network. This establishes a group/fund discovery route, not an individual cash commitment.</x:v>
      </x:c>
      <x:c r="F178" s="10" t="str">
        <x:v>Public ACA angel network; precise operating-company mandate needs confirmation.</x:v>
      </x:c>
      <x:c r="G178" s="10" t="str">
        <x:v>Unconfirmed route for company equity. No proof of willingness or available $500K cash for this specific offer.</x:v>
      </x:c>
      <x:c r="H178"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x:v>
      </x:c>
      <x:c r="I178" s="10" t="str"/>
      <x:c r="J178" s="10" t="str">
        <x:v>https://agventuresalliance.com/about/</x:v>
      </x:c>
      <x:c r="K178" s="10" t="str">
        <x:v>https://angelcapitalassociation.growthzoneapp.com/publicdirectory/Details/countryside-angels-3955262</x:v>
      </x:c>
      <x:c r="L178" s="10" t="str"/>
      <x:c r="M178" s="10" t="str">
        <x:v>2026-09-30</x:v>
      </x:c>
    </x:row>
    <x:row r="179" ht="87" customHeight="1">
      <x:c r="A179" s="10" t="str">
        <x:v>ed0050fe7a0fc7</x:v>
      </x:c>
      <x:c r="B179" s="10" t="str">
        <x:v>Delaware Crossing Investor Group</x:v>
      </x:c>
      <x:c r="C179" s="10" t="str"/>
      <x:c r="D179" s="10" t="str">
        <x:v>collective_group_or_fund_unless_explicitly_stated</x:v>
      </x:c>
      <x:c r="E179" s="10" t="str">
        <x:v>ACA publicly labels this named organization Network. This establishes a group/fund discovery route, not an individual cash commitment.</x:v>
      </x:c>
      <x:c r="F179" s="10" t="str">
        <x:v>Public ACA angel network; precise operating-company mandate needs confirmation.</x:v>
      </x:c>
      <x:c r="G179" s="10" t="str">
        <x:v>Unconfirmed route for company equity. No proof of willingness or available $500K cash for this specific offer.</x:v>
      </x:c>
      <x:c r="H179"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publicly published group business phone found in reviewed pages.</x:v>
      </x:c>
      <x:c r="I179" s="10" t="str">
        <x:v>https://www.delawarecrossing.org/</x:v>
      </x:c>
      <x:c r="J179" s="10" t="str"/>
      <x:c r="K179" s="10" t="str">
        <x:v>https://angelcapitalassociation.growthzoneapp.com/publicdirectory/Details/delaware-crossing-investor-group-3955242</x:v>
      </x:c>
      <x:c r="L179" s="10" t="str"/>
      <x:c r="M179" s="10" t="str">
        <x:v>2026-09-30</x:v>
      </x:c>
    </x:row>
    <x:row r="180" ht="102" customHeight="1">
      <x:c r="A180" s="10" t="str">
        <x:v>0587c95ccf7e44</x:v>
      </x:c>
      <x:c r="B180" s="10" t="str">
        <x:v>Frontier Angels</x:v>
      </x:c>
      <x:c r="C180" s="10" t="str"/>
      <x:c r="D180" s="10" t="str">
        <x:v>collective_group_or_fund_unless_explicitly_stated</x:v>
      </x:c>
      <x:c r="E180" s="10" t="str">
        <x:v>ACA publicly labels this named organization Network. This establishes a group/fund discovery route, not an individual cash commitment.</x:v>
      </x:c>
      <x:c r="F180" s="10" t="str">
        <x:v>Technology-first seed/Series A high-growth companies.</x:v>
      </x:c>
      <x:c r="G180" s="10" t="str">
        <x:v>Unconfirmed route for company equity. No proof of willingness or available $500K cash for this specific offer.</x:v>
      </x:c>
      <x:c r="H180" s="10" t="str">
        <x:v>Does not invest in general solicitations, non-tech products or outside Montana without strong ties; target venture-scale returns.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x:v>
      </x:c>
      <x:c r="I180" s="10" t="str"/>
      <x:c r="J180" s="10" t="str">
        <x:v>https://www.frontierangels.com/</x:v>
      </x:c>
      <x:c r="K180" s="10" t="str">
        <x:v>https://www.frontierangels.com/</x:v>
      </x:c>
      <x:c r="L180" s="10" t="str"/>
      <x:c r="M180" s="10" t="str">
        <x:v>2026-09-30</x:v>
      </x:c>
    </x:row>
    <x:row r="181" ht="117" customHeight="1">
      <x:c r="A181" s="10" t="str">
        <x:v>e8486aee96dc39</x:v>
      </x:c>
      <x:c r="B181" s="10" t="str">
        <x:v>Georgetown Angel Investor Network (GAIN)</x:v>
      </x:c>
      <x:c r="C181" s="10" t="str"/>
      <x:c r="D181" s="10" t="str">
        <x:v>collective_group_or_fund_unless_explicitly_stated</x:v>
      </x:c>
      <x:c r="E181" s="10" t="str">
        <x:v>ACA publicly labels this named organization Network. This establishes a group/fund discovery route, not an individual cash commitment.</x:v>
      </x:c>
      <x:c r="F181" s="10" t="str">
        <x:v>Public ACA angel network; precise operating-company mandate needs confirmation.</x:v>
      </x:c>
      <x:c r="G181" s="10" t="str">
        <x:v>Unconfirmed route for company equity. No proof of willingness or available $500K cash for this specific offer.</x:v>
      </x:c>
      <x:c r="H181" s="10" t="str">
        <x:v>Georgetown-affiliated founder, executive, board member, adviser or investor. Founder eligibility has not been established for 101XVC. Group/fund route; does not identify a single person able or willing to invest $500K.; No investor commitment, liquid-cash proof, approval of proposed 9.3%/8% terms or guaranteed return has been established.; University/network affinity must be checked; membership affiliation is not automatically an applicant requirement.; No publicly published group business phone found in reviewed pages.</x:v>
      </x:c>
      <x:c r="I181" s="10" t="str">
        <x:v>https://www.georgetownangelnetwork.org/about</x:v>
      </x:c>
      <x:c r="J181" s="10" t="str"/>
      <x:c r="K181" s="10" t="str">
        <x:v>https://www.georgetownangelnetwork.org/entrepreneurs</x:v>
      </x:c>
      <x:c r="L181" s="10" t="str"/>
      <x:c r="M181" s="10" t="str">
        <x:v>2026-09-30</x:v>
      </x:c>
    </x:row>
    <x:row r="182" ht="87" customHeight="1">
      <x:c r="A182" s="10" t="str">
        <x:v>d87d5748f9a5aa</x:v>
      </x:c>
      <x:c r="B182" s="10" t="str">
        <x:v>Gopher Angels, LLC</x:v>
      </x:c>
      <x:c r="C182" s="10" t="str"/>
      <x:c r="D182" s="10" t="str">
        <x:v>collective_group_or_fund_unless_explicitly_stated</x:v>
      </x:c>
      <x:c r="E182" s="10" t="str">
        <x:v>ACA publicly labels this named organization Network. This establishes a group/fund discovery route, not an individual cash commitment.</x:v>
      </x:c>
      <x:c r="F182" s="10" t="str">
        <x:v>Industry-agnostic Seed/Series A company investing with emphasis on medical devices, healthcare, enterprise SaaS and biotech.</x:v>
      </x:c>
      <x:c r="G182" s="10" t="str">
        <x:v>Conditional operating-company equity/syndication route based on published broad mandate or check size. Venture scalability, revenue proof and all eligibility conditions still require diligence.</x:v>
      </x:c>
      <x:c r="H182" s="10" t="str">
        <x:v>Strong team, scalable high-growth model, tangible traction and substantial market opportunity. Group/fund route; does not identify a single person able or willing to invest $500K.; No investor commitment, liquid-cash proof, approval of proposed 9.3%/8% terms or guaranteed return has been established.; No publicly published group business phone found in reviewed pages.</x:v>
      </x:c>
      <x:c r="I182" s="10" t="str">
        <x:v>https://gopherangels.com/connect/</x:v>
      </x:c>
      <x:c r="J182" s="10" t="str"/>
      <x:c r="K182" s="10" t="str">
        <x:v>https://gopherangels.com/for-entrepreneurs/</x:v>
      </x:c>
      <x:c r="L182" s="10" t="str"/>
      <x:c r="M182" s="10" t="str">
        <x:v>2026-09-30</x:v>
      </x:c>
    </x:row>
    <x:row r="183" ht="87" customHeight="1">
      <x:c r="A183" s="10" t="str">
        <x:v>e52d0f91c7669a</x:v>
      </x:c>
      <x:c r="B183" s="10" t="str">
        <x:v>Gulf South Angels</x:v>
      </x:c>
      <x:c r="C183" s="10" t="str"/>
      <x:c r="D183" s="10" t="str">
        <x:v>collective_group_or_fund_unless_explicitly_stated</x:v>
      </x:c>
      <x:c r="E183" s="10" t="str">
        <x:v>ACA publicly labels this named organization Network. This establishes a group/fund discovery route, not an individual cash commitment.</x:v>
      </x:c>
      <x:c r="F183" s="10" t="str">
        <x:v>High-growth ventures with exit paths; members decide investments and can pool SPVs/syndicate.</x:v>
      </x:c>
      <x:c r="G183" s="10" t="str">
        <x:v>Conditional operating-company equity/syndication route based on published broad mandate or check size. Venture scalability, revenue proof and all eligibility conditions still require diligence.</x:v>
      </x:c>
      <x:c r="H183" s="10" t="str">
        <x:v>Scalable high-growth company; aggregate/network capacity is not individual cash proof. Group/fund route; does not identify a single person able or willing to invest $500K.; No investor commitment, liquid-cash proof, approval of proposed 9.3%/8% terms or guaranteed return has been established.; No publicly published group business phone found in reviewed pages.</x:v>
      </x:c>
      <x:c r="I183" s="10" t="str">
        <x:v>https://gulfsouthangels.org/about/</x:v>
      </x:c>
      <x:c r="J183" s="10" t="str"/>
      <x:c r="K183" s="10" t="str">
        <x:v>https://gulfsouthangels.org/for-entrepreneurs/</x:v>
      </x:c>
      <x:c r="L183" s="10" t="str"/>
      <x:c r="M183" s="10" t="str">
        <x:v>2026-09-30</x:v>
      </x:c>
    </x:row>
    <x:row r="184" ht="87" customHeight="1">
      <x:c r="A184" s="10" t="str">
        <x:v>1f7d6605023bf9</x:v>
      </x:c>
      <x:c r="B184" s="10" t="str">
        <x:v>Harvard Business Alumni Angels of Greater New York (HBSAANY)</x:v>
      </x:c>
      <x:c r="C184" s="10" t="str"/>
      <x:c r="D184" s="10" t="str">
        <x:v>collective_group_or_fund_unless_explicitly_stated</x:v>
      </x:c>
      <x:c r="E184" s="10" t="str">
        <x:v>ACA publicly labels this named organization Network. This establishes a group/fund discovery route, not an individual cash commitment.</x:v>
      </x:c>
      <x:c r="F184" s="10" t="str">
        <x:v>Companies from all sectors; member investments and HBS chapter/angel-network syndication.</x:v>
      </x:c>
      <x:c r="G184" s="10" t="str">
        <x:v>Conditional operating-company equity/syndication route based on published broad mandate or check size. Venture scalability, revenue proof and all eligibility conditions still require diligence.</x:v>
      </x:c>
      <x:c r="H184" s="10" t="str">
        <x:v>Applicants explicitly do NOT need Harvard affiliation; diligence and monthly pitch selection. Group/fund route; does not identify a single person able or willing to invest $500K.; No investor commitment, liquid-cash proof, approval of proposed 9.3%/8% terms or guaranteed return has been established.; No publicly published group business phone found in reviewed pages.</x:v>
      </x:c>
      <x:c r="I184" s="10" t="str">
        <x:v>https://www.hbsangelsny.com/</x:v>
      </x:c>
      <x:c r="J184" s="10" t="str"/>
      <x:c r="K184" s="10" t="str">
        <x:v>https://www.hbsangelsny.com/apply-to-pitch</x:v>
      </x:c>
      <x:c r="L184" s="10" t="str"/>
      <x:c r="M184" s="10" t="str">
        <x:v>2026-09-30</x:v>
      </x:c>
    </x:row>
    <x:row r="185" ht="87" customHeight="1">
      <x:c r="A185" s="10" t="str">
        <x:v>169879b541d680</x:v>
      </x:c>
      <x:c r="B185" s="10" t="str">
        <x:v>Houston Angel Network</x:v>
      </x:c>
      <x:c r="C185" s="10" t="str"/>
      <x:c r="D185" s="10" t="str">
        <x:v>collective_group_or_fund_unless_explicitly_stated</x:v>
      </x:c>
      <x:c r="E185" s="10" t="str">
        <x:v>ACA publicly labels this named organization Network. This establishes a group/fund discovery route, not an individual cash commitment.</x:v>
      </x:c>
      <x:c r="F185" s="10" t="str">
        <x:v>Public ACA angel network; precise operating-company mandate needs confirmation.</x:v>
      </x:c>
      <x:c r="G185" s="10" t="str">
        <x:v>Unconfirmed route for company equity. No proof of willingness or available $500K cash for this specific offer.</x:v>
      </x:c>
      <x:c r="H185"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publicly published group business phone found in reviewed pages.</x:v>
      </x:c>
      <x:c r="I185" s="10" t="str">
        <x:v>https://www.houstonangelnetwork.org/membership</x:v>
      </x:c>
      <x:c r="J185" s="10" t="str"/>
      <x:c r="K185" s="10" t="str">
        <x:v>https://angelcapitalassociation.growthzoneapp.com/publicdirectory/Details/houston-angel-network-3955312</x:v>
      </x:c>
      <x:c r="L185" s="10" t="str"/>
      <x:c r="M185" s="10" t="str">
        <x:v>2026-09-30</x:v>
      </x:c>
    </x:row>
    <x:row r="186" ht="117" customHeight="1">
      <x:c r="A186" s="10" t="str">
        <x:v>7def11db236f62</x:v>
      </x:c>
      <x:c r="B186" s="10" t="str">
        <x:v>Launchpad Venture Group, LLC</x:v>
      </x:c>
      <x:c r="C186" s="10" t="str"/>
      <x:c r="D186" s="10" t="str">
        <x:v>collective_group_or_fund_unless_explicitly_stated</x:v>
      </x:c>
      <x:c r="E186" s="10" t="str">
        <x:v>ACA publicly labels this named organization Network. This establishes a group/fund discovery route, not an individual cash commitment.</x:v>
      </x:c>
      <x:c r="F186" s="10" t="str">
        <x:v>Public ACA angel network; precise operating-company mandate needs confirmation.</x:v>
      </x:c>
      <x:c r="G186" s="10" t="str">
        <x:v>Unconfirmed route for company equity. No proof of willingness or available $500K cash for this specific offer.</x:v>
      </x:c>
      <x:c r="H186"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 No publicly published group business phone found in reviewed pages.</x:v>
      </x:c>
      <x:c r="I186" s="10" t="str"/>
      <x:c r="J186" s="10" t="str"/>
      <x:c r="K186" s="10" t="str">
        <x:v>https://angelcapitalassociation.growthzoneapp.com/publicdirectory/Details/launchpad-venture-group-llc-3955270</x:v>
      </x:c>
      <x:c r="L186" s="10" t="str"/>
      <x:c r="M186" s="10" t="str">
        <x:v>2026-09-30</x:v>
      </x:c>
    </x:row>
    <x:row r="187" ht="87" customHeight="1">
      <x:c r="A187" s="10" t="str">
        <x:v>afd56c3fc2481a</x:v>
      </x:c>
      <x:c r="B187" s="10" t="str">
        <x:v>Maine Angels</x:v>
      </x:c>
      <x:c r="C187" s="10" t="str"/>
      <x:c r="D187" s="10" t="str">
        <x:v>collective_group_or_fund_unless_explicitly_stated</x:v>
      </x:c>
      <x:c r="E187" s="10" t="str">
        <x:v>ACA publicly labels this named organization Network. This establishes a group/fund discovery route, not an individual cash commitment.</x:v>
      </x:c>
      <x:c r="F187" s="10" t="str">
        <x:v>Public ACA angel network; precise operating-company mandate needs confirmation.</x:v>
      </x:c>
      <x:c r="G187" s="10" t="str">
        <x:v>Unconfirmed route for company equity. No proof of willingness or available $500K cash for this specific offer.</x:v>
      </x:c>
      <x:c r="H187"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publicly published group business phone found in reviewed pages.</x:v>
      </x:c>
      <x:c r="I187" s="10" t="str">
        <x:v>https://www.maineangels.org/</x:v>
      </x:c>
      <x:c r="J187" s="10" t="str"/>
      <x:c r="K187" s="10" t="str">
        <x:v>https://angelcapitalassociation.growthzoneapp.com/publicdirectory/Details/maine-angels-4868244</x:v>
      </x:c>
      <x:c r="L187" s="10" t="str"/>
      <x:c r="M187" s="10" t="str">
        <x:v>2026-09-30</x:v>
      </x:c>
    </x:row>
    <x:row r="188" ht="117" customHeight="1">
      <x:c r="A188" s="10" t="str">
        <x:v>9379fd5bcdaea0</x:v>
      </x:c>
      <x:c r="B188" s="10" t="str">
        <x:v>Mossy Ventures</x:v>
      </x:c>
      <x:c r="C188" s="10" t="str"/>
      <x:c r="D188" s="10" t="str">
        <x:v>collective_group_or_fund_unless_explicitly_stated</x:v>
      </x:c>
      <x:c r="E188" s="10" t="str">
        <x:v>ACA publicly labels this named organization Network. This establishes a group/fund discovery route, not an individual cash commitment.</x:v>
      </x:c>
      <x:c r="F188" s="10" t="str">
        <x:v>Public ACA angel network; precise operating-company mandate needs confirmation.</x:v>
      </x:c>
      <x:c r="G188" s="10" t="str">
        <x:v>Unconfirmed route for company equity. No proof of willingness or available $500K cash for this specific offer.</x:v>
      </x:c>
      <x:c r="H188"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 No publicly published group business phone found in reviewed pages.</x:v>
      </x:c>
      <x:c r="I188" s="10" t="str"/>
      <x:c r="J188" s="10" t="str"/>
      <x:c r="K188" s="10" t="str">
        <x:v>https://angelcapitalassociation.growthzoneapp.com/publicdirectory/Details/mossy-ventures-3955296</x:v>
      </x:c>
      <x:c r="L188" s="10" t="str"/>
      <x:c r="M188" s="10" t="str">
        <x:v>2026-09-30</x:v>
      </x:c>
    </x:row>
    <x:row r="189" ht="87" customHeight="1">
      <x:c r="A189" s="10" t="str">
        <x:v>c43ed96306f41e</x:v>
      </x:c>
      <x:c r="B189" s="10" t="str">
        <x:v>Nebraska Angels, Inc.</x:v>
      </x:c>
      <x:c r="C189" s="10" t="str"/>
      <x:c r="D189" s="10" t="str">
        <x:v>collective_group_or_fund_unless_explicitly_stated</x:v>
      </x:c>
      <x:c r="E189" s="10" t="str">
        <x:v>ACA publicly labels this named organization Network. This establishes a group/fund discovery route, not an individual cash commitment.</x:v>
      </x:c>
      <x:c r="F189" s="10" t="str">
        <x:v>Public ACA angel network; precise operating-company mandate needs confirmation.</x:v>
      </x:c>
      <x:c r="G189" s="10" t="str">
        <x:v>Unconfirmed route for company equity. No proof of willingness or available $500K cash for this specific offer.</x:v>
      </x:c>
      <x:c r="H189"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publicly published group business phone found in reviewed pages.</x:v>
      </x:c>
      <x:c r="I189" s="10" t="str">
        <x:v>https://www.nebraskaangels.org/about/contact-us.html</x:v>
      </x:c>
      <x:c r="J189" s="10" t="str"/>
      <x:c r="K189" s="10" t="str">
        <x:v>https://angelcapitalassociation.growthzoneapp.com/publicdirectory/Details/nebraska-angels-inc-3955184</x:v>
      </x:c>
      <x:c r="L189" s="10" t="str"/>
      <x:c r="M189" s="10" t="str">
        <x:v>2026-09-30</x:v>
      </x:c>
    </x:row>
    <x:row r="190" ht="102" customHeight="1">
      <x:c r="A190" s="10" t="str">
        <x:v>7caa47fc758164</x:v>
      </x:c>
      <x:c r="B190" s="10" t="str">
        <x:v>New Dominion Angels</x:v>
      </x:c>
      <x:c r="C190" s="10" t="str"/>
      <x:c r="D190" s="10" t="str">
        <x:v>collective_group_or_fund_unless_explicitly_stated</x:v>
      </x:c>
      <x:c r="E190" s="10" t="str">
        <x:v>ACA publicly labels this named organization Network. This establishes a group/fund discovery route, not an individual cash commitment.</x:v>
      </x:c>
      <x:c r="F190" s="10" t="str">
        <x:v>Industry-agnostic seed/Series A investing; majority of portfolio is B2B.</x:v>
      </x:c>
      <x:c r="G190" s="10" t="str">
        <x:v>Conditional operating-company equity/syndication route based on published broad mandate or check size. Venture scalability, revenue proof and all eligibility conditions still require diligence.</x:v>
      </x:c>
      <x:c r="H190" s="10" t="str">
        <x:v>Scalable company solving meaningful problems; relationship/traction diligence.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 No publicly published group business phone found in reviewed pages.</x:v>
      </x:c>
      <x:c r="I190" s="10" t="str"/>
      <x:c r="J190" s="10" t="str"/>
      <x:c r="K190" s="10" t="str">
        <x:v>https://www.newdominionangels.com/the-process</x:v>
      </x:c>
      <x:c r="L190" s="10" t="str"/>
      <x:c r="M190" s="10" t="str">
        <x:v>2026-09-30</x:v>
      </x:c>
    </x:row>
    <x:row r="191" ht="87" customHeight="1">
      <x:c r="A191" s="10" t="str">
        <x:v>05b9a831f3403b</x:v>
      </x:c>
      <x:c r="B191" s="10" t="str">
        <x:v>New Louisiana Angel Fund, LLC</x:v>
      </x:c>
      <x:c r="C191" s="10" t="str"/>
      <x:c r="D191" s="10" t="str">
        <x:v>collective_group_or_fund_unless_explicitly_stated</x:v>
      </x:c>
      <x:c r="E191" s="10" t="str">
        <x:v>ACA publicly labels this named organization Fund. This establishes a group/fund discovery route, not an individual cash commitment.</x:v>
      </x:c>
      <x:c r="F191" s="10" t="str">
        <x:v>Angel funds for growth of North Louisiana businesses; BRF manages funds and members decide investments.</x:v>
      </x:c>
      <x:c r="G191" s="10" t="str">
        <x:v>Unconfirmed route for company equity. No proof of willingness or available $500K cash for this specific offer.</x:v>
      </x:c>
      <x:c r="H191" s="10" t="str">
        <x:v>Regional mandate; fund amount raised is not available cash or a per-company check.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x:v>
      </x:c>
      <x:c r="I191" s="10" t="str"/>
      <x:c r="J191" s="10" t="str">
        <x:v>https://www.brfla.org/contact-us/</x:v>
      </x:c>
      <x:c r="K191" s="10" t="str">
        <x:v>https://www.brfla.org/new-louisiana-angel-funds/</x:v>
      </x:c>
      <x:c r="L191" s="10" t="str"/>
      <x:c r="M191" s="10" t="str">
        <x:v>2026-09-30</x:v>
      </x:c>
    </x:row>
    <x:row r="192" ht="117" customHeight="1">
      <x:c r="A192" s="10" t="str">
        <x:v>8fb5d70772814c</x:v>
      </x:c>
      <x:c r="B192" s="10" t="str">
        <x:v>New Mexico Angels</x:v>
      </x:c>
      <x:c r="C192" s="10" t="str"/>
      <x:c r="D192" s="10" t="str">
        <x:v>collective_group_or_fund_unless_explicitly_stated</x:v>
      </x:c>
      <x:c r="E192" s="10" t="str">
        <x:v>ACA publicly labels this named organization Network. This establishes a group/fund discovery route, not an individual cash commitment.</x:v>
      </x:c>
      <x:c r="F192" s="10" t="str">
        <x:v>High-growth seed/early-stage companies; relationship-based angel investing.</x:v>
      </x:c>
      <x:c r="G192" s="10" t="str">
        <x:v>Unconfirmed route for company equity. No proof of willingness or available $500K cash for this specific offer.</x:v>
      </x:c>
      <x:c r="H192" s="10" t="str">
        <x:v>Unmet capital need up to $500K is described as ideal; sustainable large opportunity, ethical leadership and scalable differentiation.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 No publicly published group business phone found in reviewed pages.</x:v>
      </x:c>
      <x:c r="I192" s="10" t="str"/>
      <x:c r="J192" s="10" t="str"/>
      <x:c r="K192" s="10" t="str">
        <x:v>https://nmangels.com/entrepreneurs/</x:v>
      </x:c>
      <x:c r="L192" s="10" t="str"/>
      <x:c r="M192" s="10" t="str">
        <x:v>2026-09-30</x:v>
      </x:c>
    </x:row>
    <x:row r="193" ht="102" customHeight="1">
      <x:c r="A193" s="10" t="str">
        <x:v>a38f9fa6962f1a</x:v>
      </x:c>
      <x:c r="B193" s="10" t="str">
        <x:v>New York Angels</x:v>
      </x:c>
      <x:c r="C193" s="10" t="str"/>
      <x:c r="D193" s="10" t="str">
        <x:v>collective_group_or_fund_unless_explicitly_stated</x:v>
      </x:c>
      <x:c r="E193" s="10" t="str">
        <x:v>ACA publicly labels this named organization Network. This establishes a group/fund discovery route, not an individual cash commitment.</x:v>
      </x:c>
      <x:c r="F193" s="10" t="str">
        <x:v>Early-stage company equity/angel funding; aggregate member investment and inter-group syndication.</x:v>
      </x:c>
      <x:c r="G193" s="10" t="str">
        <x:v>Conditional operating-company equity/syndication route based on published broad mandate or check size. Venture scalability, revenue proof and all eligibility conditions still require diligence.</x:v>
      </x:c>
      <x:c r="H193" s="10" t="str">
        <x:v>Scalable early-stage company; terms and participation decided by members.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 No publicly published group business phone found in reviewed pages.</x:v>
      </x:c>
      <x:c r="I193" s="10" t="str"/>
      <x:c r="J193" s="10" t="str"/>
      <x:c r="K193" s="10" t="str">
        <x:v>https://www.newyorkangels.com/investment-process</x:v>
      </x:c>
      <x:c r="L193" s="10" t="str"/>
      <x:c r="M193" s="10" t="str">
        <x:v>2026-09-30</x:v>
      </x:c>
    </x:row>
    <x:row r="194" ht="132" customHeight="1">
      <x:c r="A194" s="10" t="str">
        <x:v>833a697eaeef91</x:v>
      </x:c>
      <x:c r="B194" s="10" t="str">
        <x:v>Ohio State Early Investor Network</x:v>
      </x:c>
      <x:c r="C194" s="10" t="str"/>
      <x:c r="D194" s="10" t="str">
        <x:v>collective_group_or_fund_unless_explicitly_stated</x:v>
      </x:c>
      <x:c r="E194" s="10" t="str">
        <x:v>ACA publicly labels this named organization Network. This establishes a group/fund discovery route, not an individual cash commitment.</x:v>
      </x:c>
      <x:c r="F194" s="10" t="str">
        <x:v>Public ACA angel network; precise operating-company mandate needs confirmation.</x:v>
      </x:c>
      <x:c r="G194" s="10" t="str">
        <x:v>Unconfirmed route for company equity. No proof of willingness or available $500K cash for this specific offer.</x:v>
      </x:c>
      <x:c r="H194" s="10" t="str">
        <x:v>Ohio State university connection; confirm company-specific affiliation criteria. Founder eligibility has not been established for 101XVC. Group/fund route; does not identify a single person able or willing to invest $500K.; No investor commitment, liquid-cash proof, approval of proposed 9.3%/8% terms or guaranteed return has been established.; University/network affinity must be checked; membership affiliation is not automatically an applicant requirement.; No usable publicly published group business email found in reviewed pages; use the official application/contact route.; No publicly published group business phone found in reviewed pages.</x:v>
      </x:c>
      <x:c r="I194" s="10" t="str"/>
      <x:c r="J194" s="10" t="str"/>
      <x:c r="K194" s="10" t="str">
        <x:v>https://www.osein.org/about</x:v>
      </x:c>
      <x:c r="L194" s="10" t="str"/>
      <x:c r="M194" s="10" t="str">
        <x:v>2026-09-30</x:v>
      </x:c>
    </x:row>
    <x:row r="195" ht="87" customHeight="1">
      <x:c r="A195" s="10" t="str">
        <x:v>3b5b1a7c7509bc</x:v>
      </x:c>
      <x:c r="B195" s="10" t="str">
        <x:v>Park City Angels</x:v>
      </x:c>
      <x:c r="C195" s="10" t="str"/>
      <x:c r="D195" s="10" t="str">
        <x:v>collective_group_or_fund_unless_explicitly_stated</x:v>
      </x:c>
      <x:c r="E195" s="10" t="str">
        <x:v>ACA publicly labels this named organization Network. This establishes a group/fund discovery route, not an individual cash commitment.</x:v>
      </x:c>
      <x:c r="F195" s="10" t="str">
        <x:v>Public ACA angel network; precise operating-company mandate needs confirmation.</x:v>
      </x:c>
      <x:c r="G195" s="10" t="str">
        <x:v>Unconfirmed route for company equity. No proof of willingness or available $500K cash for this specific offer.</x:v>
      </x:c>
      <x:c r="H195"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publicly published group business phone found in reviewed pages.</x:v>
      </x:c>
      <x:c r="I195" s="10" t="str">
        <x:v>https://www.parkcityangels.com/contact</x:v>
      </x:c>
      <x:c r="J195" s="10" t="str"/>
      <x:c r="K195" s="10" t="str">
        <x:v>https://angelcapitalassociation.growthzoneapp.com/publicdirectory/Details/park-city-angels-3955313</x:v>
      </x:c>
      <x:c r="L195" s="10" t="str"/>
      <x:c r="M195" s="10" t="str">
        <x:v>2026-09-30</x:v>
      </x:c>
    </x:row>
    <x:row r="196" ht="102" customHeight="1">
      <x:c r="A196" s="10" t="str">
        <x:v>96596aafa2eedd</x:v>
      </x:c>
      <x:c r="B196" s="10" t="str">
        <x:v>QCA Ventures</x:v>
      </x:c>
      <x:c r="C196" s="10" t="str"/>
      <x:c r="D196" s="10" t="str">
        <x:v>collective_group_or_fund_unless_explicitly_stated</x:v>
      </x:c>
      <x:c r="E196" s="10" t="str">
        <x:v>ACA publicly labels this named organization Network. This establishes a group/fund discovery route, not an individual cash commitment.</x:v>
      </x:c>
      <x:c r="F196" s="10" t="str">
        <x:v>Public ACA angel network; precise operating-company mandate needs confirmation.</x:v>
      </x:c>
      <x:c r="G196" s="10" t="str">
        <x:v>Unconfirmed route for company equity. No proof of willingness or available $500K cash for this specific offer.</x:v>
      </x:c>
      <x:c r="H196"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x:v>
      </x:c>
      <x:c r="I196" s="10" t="str"/>
      <x:c r="J196" s="10" t="str">
        <x:v>https://www.qca.com/</x:v>
      </x:c>
      <x:c r="K196" s="10" t="str">
        <x:v>https://angelcapitalassociation.growthzoneapp.com/publicdirectory/Details/qca-ventures-3955231</x:v>
      </x:c>
      <x:c r="L196" s="10" t="str"/>
      <x:c r="M196" s="10" t="str">
        <x:v>2026-09-30</x:v>
      </x:c>
    </x:row>
    <x:row r="197" ht="117" customHeight="1">
      <x:c r="A197" s="10" t="str">
        <x:v>6de0d4bd645dc0</x:v>
      </x:c>
      <x:c r="B197" s="10" t="str">
        <x:v>Rose Angel Network LLC.</x:v>
      </x:c>
      <x:c r="C197" s="10" t="str"/>
      <x:c r="D197" s="10" t="str">
        <x:v>collective_group_or_fund_unless_explicitly_stated</x:v>
      </x:c>
      <x:c r="E197" s="10" t="str">
        <x:v>ACA publicly labels this named organization Network. This establishes a group/fund discovery route, not an individual cash commitment.</x:v>
      </x:c>
      <x:c r="F197" s="10" t="str">
        <x:v>Public ACA angel network; precise operating-company mandate needs confirmation.</x:v>
      </x:c>
      <x:c r="G197" s="10" t="str">
        <x:v>Unconfirmed route for company equity. No proof of willingness or available $500K cash for this specific offer.</x:v>
      </x:c>
      <x:c r="H197" s="10" t="str">
        <x:v>Rose-Hulman-affiliated alumnus, faculty member or student; pre-seed/seed round. Founder eligibility has not been established for 101XVC. Group/fund route; does not identify a single person able or willing to invest $500K.; No investor commitment, liquid-cash proof, approval of proposed 9.3%/8% terms or guaranteed return has been established.; University/network affinity must be checked; membership affiliation is not automatically an applicant requirement.; No publicly published group business phone found in reviewed pages.</x:v>
      </x:c>
      <x:c r="I197" s="10" t="str">
        <x:v>https://www.roseangels.org/</x:v>
      </x:c>
      <x:c r="J197" s="10" t="str"/>
      <x:c r="K197" s="10" t="str">
        <x:v>https://www.roseangels.org/startups</x:v>
      </x:c>
      <x:c r="L197" s="10" t="str"/>
      <x:c r="M197" s="10" t="str">
        <x:v>2026-09-30</x:v>
      </x:c>
    </x:row>
    <x:row r="198" ht="87" customHeight="1">
      <x:c r="A198" s="10" t="str">
        <x:v>e7e34aa1bb671d</x:v>
      </x:c>
      <x:c r="B198" s="10" t="str">
        <x:v>RTP Angel Fund</x:v>
      </x:c>
      <x:c r="C198" s="10" t="str"/>
      <x:c r="D198" s="10" t="str">
        <x:v>collective_group_or_fund_unless_explicitly_stated</x:v>
      </x:c>
      <x:c r="E198" s="10" t="str">
        <x:v>ACA publicly labels this named organization Fund. This establishes a group/fund discovery route, not an individual cash commitment.</x:v>
      </x:c>
      <x:c r="F198" s="10" t="str">
        <x:v>Public ACA angel fund; precise operating-company mandate needs confirmation.</x:v>
      </x:c>
      <x:c r="G198" s="10" t="str">
        <x:v>Unconfirmed route for company equity. No proof of willingness or available $500K cash for this specific offer.</x:v>
      </x:c>
      <x:c r="H198"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publicly published group business phone found in reviewed pages.</x:v>
      </x:c>
      <x:c r="I198" s="10" t="str">
        <x:v>https://www.rtpangelfund.com/contact-us</x:v>
      </x:c>
      <x:c r="J198" s="10" t="str"/>
      <x:c r="K198" s="10" t="str">
        <x:v>https://angelcapitalassociation.growthzoneapp.com/publicdirectory/Details/rtp-angel-fund-3955237</x:v>
      </x:c>
      <x:c r="L198" s="10" t="str"/>
      <x:c r="M198" s="10" t="str">
        <x:v>2026-09-30</x:v>
      </x:c>
    </x:row>
    <x:row r="199" ht="117" customHeight="1">
      <x:c r="A199" s="10" t="str">
        <x:v>6aa2b9ed88bb74</x:v>
      </x:c>
      <x:c r="B199" s="10" t="str">
        <x:v>Sacramento Angels</x:v>
      </x:c>
      <x:c r="C199" s="10" t="str"/>
      <x:c r="D199" s="10" t="str">
        <x:v>collective_group_or_fund_unless_explicitly_stated</x:v>
      </x:c>
      <x:c r="E199" s="10" t="str">
        <x:v>ACA publicly labels this named organization Network. This establishes a group/fund discovery route, not an individual cash commitment.</x:v>
      </x:c>
      <x:c r="F199" s="10" t="str">
        <x:v>Public ACA angel network; precise operating-company mandate needs confirmation.</x:v>
      </x:c>
      <x:c r="G199" s="10" t="str">
        <x:v>Unconfirmed route for company equity. No proof of willingness or available $500K cash for this specific offer.</x:v>
      </x:c>
      <x:c r="H199"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 No publicly published group business phone found in reviewed pages.</x:v>
      </x:c>
      <x:c r="I199" s="10" t="str"/>
      <x:c r="J199" s="10" t="str"/>
      <x:c r="K199" s="10" t="str">
        <x:v>https://angelcapitalassociation.growthzoneapp.com/publicdirectory/Details/sacramento-angels-3955206</x:v>
      </x:c>
      <x:c r="L199" s="10" t="str"/>
      <x:c r="M199" s="10" t="str">
        <x:v>2026-09-30</x:v>
      </x:c>
    </x:row>
    <x:row r="200" ht="117" customHeight="1">
      <x:c r="A200" s="10" t="str">
        <x:v>b17e515d4260c8</x:v>
      </x:c>
      <x:c r="B200" s="10" t="str">
        <x:v>Santa Barbara Angel Alliance</x:v>
      </x:c>
      <x:c r="C200" s="10" t="str"/>
      <x:c r="D200" s="10" t="str">
        <x:v>collective_group_or_fund_unless_explicitly_stated</x:v>
      </x:c>
      <x:c r="E200" s="10" t="str">
        <x:v>ACA publicly labels this named organization Network. This establishes a group/fund discovery route, not an individual cash commitment.</x:v>
      </x:c>
      <x:c r="F200" s="10" t="str">
        <x:v>Public ACA angel network; precise operating-company mandate needs confirmation.</x:v>
      </x:c>
      <x:c r="G200" s="10" t="str">
        <x:v>Unconfirmed route for company equity. No proof of willingness or available $500K cash for this specific offer.</x:v>
      </x:c>
      <x:c r="H200"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 No publicly published group business phone found in reviewed pages.</x:v>
      </x:c>
      <x:c r="I200" s="10" t="str"/>
      <x:c r="J200" s="10" t="str"/>
      <x:c r="K200" s="10" t="str">
        <x:v>https://angelcapitalassociation.growthzoneapp.com/publicdirectory/Details/santa-barbara-angel-alliance-4898017</x:v>
      </x:c>
      <x:c r="L200" s="10" t="str"/>
      <x:c r="M200" s="10" t="str">
        <x:v>2026-09-30</x:v>
      </x:c>
    </x:row>
    <x:row r="201" ht="117" customHeight="1">
      <x:c r="A201" s="10" t="str">
        <x:v>6b210c62f56e9d</x:v>
      </x:c>
      <x:c r="B201" s="10" t="str">
        <x:v>Seraph Direct</x:v>
      </x:c>
      <x:c r="C201" s="10" t="str">
        <x:v>Tuff Yen</x:v>
      </x:c>
      <x:c r="D201" s="10" t="str">
        <x:v>collective_group_or_fund_unless_explicitly_stated</x:v>
      </x:c>
      <x:c r="E201" s="10" t="str">
        <x:v>ACA publicly labels this named organization Network. This establishes a group/fund discovery route, not an individual cash commitment.</x:v>
      </x:c>
      <x:c r="F201" s="10" t="str">
        <x:v>Early-stage technology co-investment platform associated with Seraph Group; no geographic/industry restriction on platform homepage, but founder highlights technology sectors.</x:v>
      </x:c>
      <x:c r="G201" s="10" t="str">
        <x:v>Unconfirmed route for company equity. No proof of willingness or available $500K cash for this specific offer.</x:v>
      </x:c>
      <x:c r="H201" s="10" t="str">
        <x:v>Company eligibility and equity structure need review; founder-office email is for general/group inquiries, not a documented investment-submission mailbox. Group/fund route; does not identify a single person able or willing to invest $500K.; No investor commitment, liquid-cash proof, approval of proposed 9.3%/8% terms or guaranteed return has been established.; Founder-office general inquiry mailbox is public; a direct investment submission route and $500K personal check are unverified.; No publicly published group business phone found in reviewed pages.</x:v>
      </x:c>
      <x:c r="I201" s="10" t="str">
        <x:v>https://tuffyen.com/</x:v>
      </x:c>
      <x:c r="J201" s="10" t="str"/>
      <x:c r="K201" s="10" t="str">
        <x:v>https://seraphdirect.com/</x:v>
      </x:c>
      <x:c r="L201" s="10" t="str"/>
      <x:c r="M201" s="10" t="str">
        <x:v>2026-09-30</x:v>
      </x:c>
    </x:row>
    <x:row r="202" ht="117" customHeight="1">
      <x:c r="A202" s="10" t="str">
        <x:v>dbab4d61319d07</x:v>
      </x:c>
      <x:c r="B202" s="10" t="str">
        <x:v>SideCar Angels</x:v>
      </x:c>
      <x:c r="C202" s="10" t="str"/>
      <x:c r="D202" s="10" t="str">
        <x:v>collective_group_or_fund_unless_explicitly_stated</x:v>
      </x:c>
      <x:c r="E202" s="10" t="str">
        <x:v>ACA publicly labels this named organization Fund. This establishes a group/fund discovery route, not an individual cash commitment.</x:v>
      </x:c>
      <x:c r="F202" s="10" t="str">
        <x:v>Public ACA angel fund; precise operating-company mandate needs confirmation.</x:v>
      </x:c>
      <x:c r="G202" s="10" t="str">
        <x:v>Unconfirmed route for company equity. No proof of willingness or available $500K cash for this specific offer.</x:v>
      </x:c>
      <x:c r="H202"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 No publicly published group business phone found in reviewed pages.</x:v>
      </x:c>
      <x:c r="I202" s="10" t="str"/>
      <x:c r="J202" s="10" t="str"/>
      <x:c r="K202" s="10" t="str">
        <x:v>https://angelcapitalassociation.growthzoneapp.com/publicdirectory/Details/sidecar-angels-3955214</x:v>
      </x:c>
      <x:c r="L202" s="10" t="str"/>
      <x:c r="M202" s="10" t="str">
        <x:v>2026-09-30</x:v>
      </x:c>
    </x:row>
    <x:row r="203" ht="117" customHeight="1">
      <x:c r="A203" s="10" t="str">
        <x:v>e0d6fefc56ba29</x:v>
      </x:c>
      <x:c r="B203" s="10" t="str">
        <x:v>SoundBoard Venture Funds</x:v>
      </x:c>
      <x:c r="C203" s="10" t="str"/>
      <x:c r="D203" s="10" t="str">
        <x:v>collective_group_or_fund_unless_explicitly_stated</x:v>
      </x:c>
      <x:c r="E203" s="10" t="str">
        <x:v>ACA publicly labels this named organization Fund. This establishes a group/fund discovery route, not an individual cash commitment.</x:v>
      </x:c>
      <x:c r="F203" s="10" t="str">
        <x:v>Public ACA angel fund; precise operating-company mandate needs confirmation.</x:v>
      </x:c>
      <x:c r="G203" s="10" t="str">
        <x:v>Unconfirmed route for company equity. No proof of willingness or available $500K cash for this specific offer.</x:v>
      </x:c>
      <x:c r="H203"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 No publicly published group business phone found in reviewed pages.</x:v>
      </x:c>
      <x:c r="I203" s="10" t="str"/>
      <x:c r="J203" s="10" t="str"/>
      <x:c r="K203" s="10" t="str">
        <x:v>https://angelcapitalassociation.growthzoneapp.com/publicdirectory/Details/soundboard-venture-funds-3955283</x:v>
      </x:c>
      <x:c r="L203" s="10" t="str"/>
      <x:c r="M203" s="10" t="str">
        <x:v>2026-09-30</x:v>
      </x:c>
    </x:row>
    <x:row r="204" ht="87" customHeight="1">
      <x:c r="A204" s="10" t="str">
        <x:v>36d6e9d2214df4</x:v>
      </x:c>
      <x:c r="B204" s="10" t="str">
        <x:v>St. Louis Arch Angels</x:v>
      </x:c>
      <x:c r="C204" s="10" t="str"/>
      <x:c r="D204" s="10" t="str">
        <x:v>collective_group_or_fund_unless_explicitly_stated</x:v>
      </x:c>
      <x:c r="E204" s="10" t="str">
        <x:v>ACA publicly labels this named organization Network. This establishes a group/fund discovery route, not an individual cash commitment.</x:v>
      </x:c>
      <x:c r="F204" s="10" t="str">
        <x:v>Public ACA angel network; precise operating-company mandate needs confirmation.</x:v>
      </x:c>
      <x:c r="G204" s="10" t="str">
        <x:v>Unconfirmed route for company equity. No proof of willingness or available $500K cash for this specific offer.</x:v>
      </x:c>
      <x:c r="H204"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publicly published group business phone found in reviewed pages.</x:v>
      </x:c>
      <x:c r="I204" s="10" t="str">
        <x:v>https://www.stlouisarchangels.com/contact</x:v>
      </x:c>
      <x:c r="J204" s="10" t="str"/>
      <x:c r="K204" s="10" t="str">
        <x:v>https://angelcapitalassociation.growthzoneapp.com/publicdirectory/Details/st-louis-arch-angels-3955310</x:v>
      </x:c>
      <x:c r="L204" s="10" t="str"/>
      <x:c r="M204" s="10" t="str">
        <x:v>2026-09-30</x:v>
      </x:c>
    </x:row>
    <x:row r="205" ht="117" customHeight="1">
      <x:c r="A205" s="10" t="str">
        <x:v>6fa20463784a12</x:v>
      </x:c>
      <x:c r="B205" s="10" t="str">
        <x:v>TCA Venture Group</x:v>
      </x:c>
      <x:c r="C205" s="10" t="str"/>
      <x:c r="D205" s="10" t="str">
        <x:v>collective_group_or_fund_unless_explicitly_stated</x:v>
      </x:c>
      <x:c r="E205" s="10" t="str">
        <x:v>ACA publicly labels this named organization Network. This establishes a group/fund discovery route, not an individual cash commitment.</x:v>
      </x:c>
      <x:c r="F205" s="10" t="str">
        <x:v>Seed, bridge and early A-round startups across industries; angel funds and collective member routes.</x:v>
      </x:c>
      <x:c r="G205" s="10" t="str">
        <x:v>Conditional operating-company equity/syndication route based on published broad mandate or check size. Venture scalability, revenue proof and all eligibility conditions still require diligence.</x:v>
      </x:c>
      <x:c r="H205" s="10" t="str">
        <x:v>Innovative differentiated solution and scalable venture opportunity; exact $500K group/fund ticket not established in reviewed pages.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 No publicly published group business phone found in reviewed pages.</x:v>
      </x:c>
      <x:c r="I205" s="10" t="str"/>
      <x:c r="J205" s="10" t="str"/>
      <x:c r="K205" s="10" t="str">
        <x:v>https://tcaventuregroup.com/</x:v>
      </x:c>
      <x:c r="L205" s="10" t="str"/>
      <x:c r="M205" s="10" t="str">
        <x:v>2026-09-30</x:v>
      </x:c>
    </x:row>
    <x:row r="206" ht="102" customHeight="1">
      <x:c r="A206" s="10" t="str">
        <x:v>cfb5d7d7ee4a51</x:v>
      </x:c>
      <x:c r="B206" s="10" t="str">
        <x:v>TiE Global Angels</x:v>
      </x:c>
      <x:c r="C206" s="10" t="str"/>
      <x:c r="D206" s="10" t="str">
        <x:v>collective_group_or_fund_unless_explicitly_stated</x:v>
      </x:c>
      <x:c r="E206" s="10" t="str">
        <x:v>ACA publicly labels this named organization Network. This establishes a group/fund discovery route, not an individual cash commitment.</x:v>
      </x:c>
      <x:c r="F206" s="10" t="str">
        <x:v>Global charter-member angel platform with investors from Americas and India.</x:v>
      </x:c>
      <x:c r="G206" s="10" t="str">
        <x:v>Unconfirmed route for company equity. No proof of willingness or available $500K cash for this specific offer.</x:v>
      </x:c>
      <x:c r="H206" s="10" t="str">
        <x:v>Confirm participating US chapter, startup criteria and syndication; global membership does not prove a single $500K check.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x:v>
      </x:c>
      <x:c r="I206" s="10" t="str"/>
      <x:c r="J206" s="10" t="str">
        <x:v>https://angels.tie.org/</x:v>
      </x:c>
      <x:c r="K206" s="10" t="str">
        <x:v>https://angels.tie.org/</x:v>
      </x:c>
      <x:c r="L206" s="10" t="str"/>
      <x:c r="M206" s="10" t="str">
        <x:v>2026-09-30</x:v>
      </x:c>
    </x:row>
    <x:row r="207" ht="117" customHeight="1">
      <x:c r="A207" s="10" t="str">
        <x:v>16d7c111dfc88a</x:v>
      </x:c>
      <x:c r="B207" s="10" t="str">
        <x:v>VentureSouth</x:v>
      </x:c>
      <x:c r="C207" s="10" t="str"/>
      <x:c r="D207" s="10" t="str">
        <x:v>collective_group_or_fund_unless_explicitly_stated</x:v>
      </x:c>
      <x:c r="E207" s="10" t="str">
        <x:v>ACA publicly labels this named organization Network. This establishes a group/fund discovery route, not an individual cash commitment.</x:v>
      </x:c>
      <x:c r="F207" s="10" t="str">
        <x:v>Public ACA angel network; precise operating-company mandate needs confirmation.</x:v>
      </x:c>
      <x:c r="G207" s="10" t="str">
        <x:v>Unconfirmed route for company equity. No proof of willingness or available $500K cash for this specific offer.</x:v>
      </x:c>
      <x:c r="H207"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 No publicly published group business phone found in reviewed pages.</x:v>
      </x:c>
      <x:c r="I207" s="10" t="str"/>
      <x:c r="J207" s="10" t="str"/>
      <x:c r="K207" s="10" t="str">
        <x:v>https://angelcapitalassociation.growthzoneapp.com/publicdirectory/Details/venturesouth-3955183</x:v>
      </x:c>
      <x:c r="L207" s="10" t="str"/>
      <x:c r="M207" s="10" t="str">
        <x:v>2026-09-30</x:v>
      </x:c>
    </x:row>
    <x:row r="208" ht="87" customHeight="1">
      <x:c r="A208" s="10" t="str">
        <x:v>43dd4a8a0cea0b</x:v>
      </x:c>
      <x:c r="B208" s="10" t="str">
        <x:v>VisionTech Angels</x:v>
      </x:c>
      <x:c r="C208" s="10" t="str"/>
      <x:c r="D208" s="10" t="str">
        <x:v>collective_group_or_fund_unless_explicitly_stated</x:v>
      </x:c>
      <x:c r="E208" s="10" t="str">
        <x:v>ACA publicly labels this named organization Network. This establishes a group/fund discovery route, not an individual cash commitment.</x:v>
      </x:c>
      <x:c r="F208" s="10" t="str">
        <x:v>High-growth startup company angel investment with deep founder problem expertise.</x:v>
      </x:c>
      <x:c r="G208" s="10" t="str">
        <x:v>Unconfirmed route for company equity. No proof of willingness or available $500K cash for this specific offer.</x:v>
      </x:c>
      <x:c r="H208" s="10" t="str">
        <x:v>Investor-interest screen; scalable differentiated venture needs to be established. Group/fund route; does not identify a single person able or willing to invest $500K.; No investor commitment, liquid-cash proof, approval of proposed 9.3%/8% terms or guaranteed return has been established.; No usable publicly published group business email found in reviewed pages; use the official application/contact route.</x:v>
      </x:c>
      <x:c r="I208" s="10" t="str"/>
      <x:c r="J208" s="10" t="str">
        <x:v>https://visiontech-partners.com/contact</x:v>
      </x:c>
      <x:c r="K208" s="10" t="str">
        <x:v>https://visiontech-partners.com/startups</x:v>
      </x:c>
      <x:c r="L208" s="10" t="str"/>
      <x:c r="M208" s="10" t="str">
        <x:v>2026-09-30</x:v>
      </x:c>
    </x:row>
    <x:row r="209" ht="87" customHeight="1">
      <x:c r="A209" s="10" t="str">
        <x:v>209e5ddaf6b904</x:v>
      </x:c>
      <x:c r="B209" s="10" t="str">
        <x:v>Westchester Angel Network</x:v>
      </x:c>
      <x:c r="C209" s="10" t="str"/>
      <x:c r="D209" s="10" t="str">
        <x:v>collective_group_or_fund_unless_explicitly_stated</x:v>
      </x:c>
      <x:c r="E209" s="10" t="str">
        <x:v>ACA publicly labels this named organization Network. This establishes a group/fund discovery route, not an individual cash commitment.</x:v>
      </x:c>
      <x:c r="F209" s="10" t="str">
        <x:v>Public ACA angel network; precise operating-company mandate needs confirmation.</x:v>
      </x:c>
      <x:c r="G209" s="10" t="str">
        <x:v>Unconfirmed route for company equity. No proof of willingness or available $500K cash for this specific offer.</x:v>
      </x:c>
      <x:c r="H209" s="10" t="str">
        <x:v>Confirm current activity, operating-company equity eligibility, syndication ability, stage, sector and geographic restrictions. Group/fund route; does not identify a single person able or willing to invest $500K.; No investor commitment, liquid-cash proof, approval of proposed 9.3%/8% terms or guaranteed return has been established.; No publicly published group business phone found in reviewed pages.</x:v>
      </x:c>
      <x:c r="I209" s="10" t="str">
        <x:v>https://westchesterangels.com/contact/</x:v>
      </x:c>
      <x:c r="J209" s="10" t="str"/>
      <x:c r="K209" s="10" t="str">
        <x:v>https://angelcapitalassociation.growthzoneapp.com/publicdirectory/Details/westchester-angel-network-3955308</x:v>
      </x:c>
      <x:c r="L209" s="10" t="str"/>
      <x:c r="M209" s="10" t="str">
        <x:v>2026-09-30</x:v>
      </x:c>
    </x:row>
    <x:row r="210" ht="57" customHeight="1">
      <x:c r="A210" s="10" t="str">
        <x:v>d535a6d3648e7d</x:v>
      </x:c>
      <x:c r="B210" s="10" t="str">
        <x:v>Ant Venture Partners</x:v>
      </x:c>
      <x:c r="C210" s="10" t="str"/>
      <x:c r="D210" s="10" t="str"/>
      <x:c r="E210" s="10" t="str">
        <x:v>unknown</x:v>
      </x:c>
      <x:c r="F210" s="10" t="str">
        <x:v>Early-stage business software in healthcare, logistics, manufacturing and construction; deal-by-deal co-investment.</x:v>
      </x:c>
      <x:c r="G210" s="10" t="str"/>
      <x:c r="H210" s="10" t="str">
        <x:v>Direct company check not published; platform is not a committed fund; software mandate mismatch with plain service execution.</x:v>
      </x:c>
      <x:c r="I210" s="10" t="str"/>
      <x:c r="J210" s="10" t="str"/>
      <x:c r="K210" s="10" t="str">
        <x:v>https://www.antvp.com/</x:v>
      </x:c>
      <x:c r="L210" s="10" t="str"/>
      <x:c r="M210" s="10" t="str">
        <x:v>2026-09-30</x:v>
      </x:c>
    </x:row>
    <x:row r="211" ht="57" customHeight="1">
      <x:c r="A211" s="10" t="str">
        <x:v>9300f9eb43f3e6</x:v>
      </x:c>
      <x:c r="B211" s="10" t="str">
        <x:v>Benevolent Capital Group</x:v>
      </x:c>
      <x:c r="C211" s="10" t="str"/>
      <x:c r="D211" s="10" t="str"/>
      <x:c r="E211" s="10" t="str">
        <x:v>published_minority_initial</x:v>
      </x:c>
      <x:c r="F211" s="10" t="str">
        <x:v>Local scalable service businesses $250K–$500K existing revenue and positive net margins.</x:v>
      </x:c>
      <x:c r="G211" s="10" t="str"/>
      <x:c r="H211" s="10" t="str">
        <x:v>Mentorship-first/initial MVP fund; check sizes unpublished; current deployable capital unconfirmed.</x:v>
      </x:c>
      <x:c r="I211" s="10" t="str"/>
      <x:c r="J211" s="10" t="str"/>
      <x:c r="K211" s="10" t="str">
        <x:v>https://benevolentcapitalgroup.com/insights/welcome-to-benevolent/</x:v>
      </x:c>
      <x:c r="L211" s="10" t="str"/>
      <x:c r="M211" s="10" t="str">
        <x:v>2026-09-30</x:v>
      </x:c>
    </x:row>
    <x:row r="212" ht="57" customHeight="1">
      <x:c r="A212" s="10" t="str">
        <x:v>7416c408ea0fe1</x:v>
      </x:c>
      <x:c r="B212" s="10" t="str">
        <x:v>Boring Business Fund</x:v>
      </x:c>
      <x:c r="C212" s="10" t="str"/>
      <x:c r="D212" s="10" t="str"/>
      <x:c r="E212" s="10" t="str">
        <x:v>significant_minority_or_control</x:v>
      </x:c>
      <x:c r="F212" s="10" t="str">
        <x:v>Small business growth, control or significant minority investments.</x:v>
      </x:c>
      <x:c r="G212" s="10" t="str"/>
      <x:c r="H212" s="10" t="str">
        <x:v>Site self-published LP equity per transaction may reflect syndication allocation; actual company check, current entity and track record require confirmation; 9.3% may not be significant minority.</x:v>
      </x:c>
      <x:c r="I212" s="10" t="str">
        <x:v>https://www.boringbusinessfund.com/</x:v>
      </x:c>
      <x:c r="J212" s="10" t="str"/>
      <x:c r="K212" s="10" t="str">
        <x:v>https://www.boringbusinessfund.com/</x:v>
      </x:c>
      <x:c r="L212" s="10" t="str"/>
      <x:c r="M212" s="10" t="str">
        <x:v>2026-09-30</x:v>
      </x:c>
    </x:row>
    <x:row r="213" ht="57" customHeight="1">
      <x:c r="A213" s="10" t="str">
        <x:v>0ad7cbd6dc5f3e</x:v>
      </x:c>
      <x:c r="B213" s="10" t="str">
        <x:v>Cloud Peak Co.</x:v>
      </x:c>
      <x:c r="C213" s="10" t="str"/>
      <x:c r="D213" s="10" t="str"/>
      <x:c r="E213" s="10" t="str">
        <x:v>published_minority</x:v>
      </x:c>
      <x:c r="F213" s="10" t="str">
        <x:v>Colorado family office; searcher/independent sponsor/acquisition equity and recapitalizations.</x:v>
      </x:c>
      <x:c r="G213" s="10" t="str"/>
      <x:c r="H213" s="10" t="str">
        <x:v>Acquisition/recapitalization mandate; check size and fit for new corporate working-capital contract unknown.</x:v>
      </x:c>
      <x:c r="I213" s="10" t="str">
        <x:v>https://cloudpeakco.com/</x:v>
      </x:c>
      <x:c r="J213" s="10" t="str"/>
      <x:c r="K213" s="10" t="str">
        <x:v>https://cloudpeakco.com/</x:v>
      </x:c>
      <x:c r="L213" s="10" t="str"/>
      <x:c r="M213" s="10" t="str">
        <x:v>2026-09-30</x:v>
      </x:c>
    </x:row>
    <x:row r="214" ht="57" customHeight="1">
      <x:c r="A214" s="10" t="str">
        <x:v>b82e677bc0aae6</x:v>
      </x:c>
      <x:c r="B214" s="10" t="str">
        <x:v>Horizon Point Capital</x:v>
      </x:c>
      <x:c r="C214" s="10" t="str"/>
      <x:c r="D214" s="10" t="str"/>
      <x:c r="E214" s="10" t="str">
        <x:v>published_minority_or_control</x:v>
      </x:c>
      <x:c r="F214" s="10" t="str">
        <x:v>Business services, consumer products, software, food/beverage; family-office capital.</x:v>
      </x:c>
      <x:c r="G214" s="10" t="str"/>
      <x:c r="H214" s="10" t="str">
        <x:v>Lower-middle-market existing businesses; check size and exact revenue/EBITDA requirements unknown.</x:v>
      </x:c>
      <x:c r="I214" s="10" t="str"/>
      <x:c r="J214" s="10" t="str"/>
      <x:c r="K214" s="10" t="str">
        <x:v>https://www.horizonpoint.com/</x:v>
      </x:c>
      <x:c r="L214" s="10" t="str"/>
      <x:c r="M214" s="10" t="str">
        <x:v>2026-09-30</x:v>
      </x:c>
    </x:row>
    <x:row r="215" ht="57" customHeight="1">
      <x:c r="A215" s="10" t="str">
        <x:v>866f9e99909687</x:v>
      </x:c>
      <x:c r="B215" s="10" t="str">
        <x:v>Moraine Partners</x:v>
      </x:c>
      <x:c r="C215" s="10" t="str"/>
      <x:c r="D215" s="10" t="str"/>
      <x:c r="E215" s="10" t="str">
        <x:v>minority_selectively_considered</x:v>
      </x:c>
      <x:c r="F215" s="10" t="str">
        <x:v>Small and medium business growth capital.</x:v>
      </x:c>
      <x:c r="G215" s="10" t="str"/>
      <x:c r="H215" s="10" t="str">
        <x:v>Published transaction size $500K–$1M and up; confirm equity check versus overall transaction value; existing-business criteria.</x:v>
      </x:c>
      <x:c r="I215" s="10" t="str"/>
      <x:c r="J215" s="10" t="str">
        <x:v>https://morainepartners.com/beneficiaries/</x:v>
      </x:c>
      <x:c r="K215" s="10" t="str">
        <x:v>https://morainepartners.com/beneficiaries/</x:v>
      </x:c>
      <x:c r="L215" s="10" t="str"/>
      <x:c r="M215" s="10" t="str">
        <x:v>2026-09-30</x:v>
      </x:c>
    </x:row>
    <x:row r="216" ht="57" customHeight="1">
      <x:c r="A216" s="10" t="str">
        <x:v>6393119f2ee979</x:v>
      </x:c>
      <x:c r="B216" s="10" t="str">
        <x:v>Preservation Holdings</x:v>
      </x:c>
      <x:c r="C216" s="10" t="str"/>
      <x:c r="D216" s="10" t="str"/>
      <x:c r="E216" s="10" t="str">
        <x:v>published_minority</x:v>
      </x:c>
      <x:c r="F216" s="10" t="str">
        <x:v>Dallas-area operating businesses; within 150 miles; flexible industry and size.</x:v>
      </x:c>
      <x:c r="G216" s="10" t="str"/>
      <x:c r="H216" s="10" t="str">
        <x:v>Geography constraint; exact direct check range and operating track record needed.</x:v>
      </x:c>
      <x:c r="I216" s="10" t="str">
        <x:v>https://preservationholdings.com/contact/</x:v>
      </x:c>
      <x:c r="J216" s="10" t="str"/>
      <x:c r="K216" s="10" t="str">
        <x:v>https://www.preservationholdings.com/for-intermediaries</x:v>
      </x:c>
      <x:c r="L216" s="10" t="str"/>
      <x:c r="M216" s="10" t="str">
        <x:v>2026-09-30</x:v>
      </x:c>
    </x:row>
    <x:row r="217" ht="57" customHeight="1">
      <x:c r="A217" s="10" t="str">
        <x:v>3bf87b6b2abc75</x:v>
      </x:c>
      <x:c r="B217" s="10" t="str">
        <x:v>Saturn Partners</x:v>
      </x:c>
      <x:c r="C217" s="10" t="str"/>
      <x:c r="D217" s="10" t="str"/>
      <x:c r="E217" s="10" t="str">
        <x:v>unknown</x:v>
      </x:c>
      <x:c r="F217" s="10" t="str">
        <x:v>Early-stage venture operating-company investments.</x:v>
      </x:c>
      <x:c r="G217" s="10" t="str"/>
      <x:c r="H217" s="10" t="str">
        <x:v>Direct ticket and current deployment require primary evidence; do not use third-party database size as verified.</x:v>
      </x:c>
      <x:c r="I217" s="10" t="str"/>
      <x:c r="J217" s="10" t="str">
        <x:v>https://saturnpartnersvc.com/</x:v>
      </x:c>
      <x:c r="K217" s="10" t="str">
        <x:v>https://saturnpartnersvc.com/</x:v>
      </x:c>
      <x:c r="L217" s="10" t="str"/>
      <x:c r="M217" s="10" t="str">
        <x:v>2026-09-30</x:v>
      </x:c>
    </x:row>
    <x:row r="218" ht="57" customHeight="1">
      <x:c r="A218" s="10" t="str">
        <x:v>d27fff7f39296b</x:v>
      </x:c>
      <x:c r="B218" s="10" t="str">
        <x:v>Shorewood Capital</x:v>
      </x:c>
      <x:c r="C218" s="10" t="str"/>
      <x:c r="D218" s="10" t="str"/>
      <x:c r="E218" s="10" t="str">
        <x:v>published_minority_technology</x:v>
      </x:c>
      <x:c r="F218" s="10" t="str">
        <x:v>Family-owned small-business capital; emerging technology minority portfolio.</x:v>
      </x:c>
      <x:c r="G218" s="10" t="str"/>
      <x:c r="H218" s="10" t="str">
        <x:v>Cash-flow target $250K–$2M pertains ordinary operating businesses; venture criteria/check size separate, unpublished.</x:v>
      </x:c>
      <x:c r="I218" s="10" t="str"/>
      <x:c r="J218" s="10" t="str"/>
      <x:c r="K218" s="10" t="str">
        <x:v>https://shorewoodcapital.com/investment-profile/</x:v>
      </x:c>
      <x:c r="L218" s="10" t="str"/>
      <x:c r="M218" s="10" t="str">
        <x:v>2026-09-30</x:v>
      </x:c>
    </x:row>
    <x:row r="219" ht="57" customHeight="1">
      <x:c r="A219" s="10" t="str">
        <x:v>08546dfd0903e5</x:v>
      </x:c>
      <x:c r="B219" s="10" t="str">
        <x:v>Battery Point Capital</x:v>
      </x:c>
      <x:c r="C219" s="10" t="str"/>
      <x:c r="D219" s="10" t="str"/>
      <x:c r="E219" s="10" t="str">
        <x:v>Explicit minority and control growth equity.</x:v>
      </x:c>
      <x:c r="F219" s="10" t="str">
        <x:v>Business services, software and technology growth equity; may consider fast-growing unprofitable firms.</x:v>
      </x:c>
      <x:c r="G219" s="10" t="str">
        <x:v>Business services, software and technology growth equity; may consider fast-growing unprofitable firms.</x:v>
      </x:c>
      <x:c r="H219" s="10" t="str">
        <x:v>Traditional-company criteria include $2M adjusted EBITDA and $5M revenue; $500K check size is unverified. No public phone.</x:v>
      </x:c>
      <x:c r="I219" s="10" t="str">
        <x:v>https://bpc.scalepartners.io/contact-us/</x:v>
      </x:c>
      <x:c r="J219" s="10" t="str"/>
      <x:c r="K219" s="10" t="str">
        <x:v>https://bpc.scalepartners.io/</x:v>
      </x:c>
      <x:c r="L219" s="10" t="str"/>
      <x:c r="M219" s="10" t="str">
        <x:v>2026-09-30</x:v>
      </x:c>
    </x:row>
    <x:row r="220" ht="57" customHeight="1">
      <x:c r="A220" s="10" t="str">
        <x:v>72aeeb0e11812c</x:v>
      </x:c>
      <x:c r="B220" s="10" t="str">
        <x:v>Brener International Group</x:v>
      </x:c>
      <x:c r="C220" s="10" t="str"/>
      <x:c r="D220" s="10" t="str"/>
      <x:c r="E220" s="10" t="str">
        <x:v>Flexible and opportunistic proprietary company investing; minority policy not explicitly confirmed.</x:v>
      </x:c>
      <x:c r="F220" s="10" t="str">
        <x:v>Direct small/midsize operating-company investments across technology, transportation and consumer/financial sectors.</x:v>
      </x:c>
      <x:c r="G220" s="10" t="str">
        <x:v>Direct small/midsize operating-company investments across technology, transportation and consumer/financial sectors.</x:v>
      </x:c>
      <x:c r="H220" s="10" t="str">
        <x:v>Current investor-owned site publishes investments@brenergroup.com but no phone. Check size, startup tolerance and minority/industry fit for101XVC unverified.</x:v>
      </x:c>
      <x:c r="I220" s="10" t="str">
        <x:v>https://www.brenergroup.com/</x:v>
      </x:c>
      <x:c r="J220" s="10" t="str"/>
      <x:c r="K220" s="10" t="str">
        <x:v>https://www.brenergroup.com/</x:v>
      </x:c>
      <x:c r="L220" s="10" t="str"/>
      <x:c r="M220" s="10" t="str">
        <x:v>2026-09-30</x:v>
      </x:c>
    </x:row>
    <x:row r="221" ht="72" customHeight="1">
      <x:c r="A221" s="10" t="str">
        <x:v>e33a59dbbe7c01</x:v>
      </x:c>
      <x:c r="B221" s="10" t="str">
        <x:v>Brownhelm Capital</x:v>
      </x:c>
      <x:c r="C221" s="10" t="str">
        <x:v>Max Weber</x:v>
      </x:c>
      <x:c r="D221" s="10" t="str"/>
      <x:c r="E221" s="10" t="str">
        <x:v>Explicit majority/minority capital across early to mature stages; working capital support and growth financing.</x:v>
      </x:c>
      <x:c r="F221" s="10" t="str">
        <x:v>Unusually close published mandate: real-estate service providers, property managers, real-estate/financial-service software, minority and working-capital support.</x:v>
      </x:c>
      <x:c r="G221" s="10" t="str">
        <x:v>Unusually close published mandate: real-estate service providers, property managers, real-estate/financial-service software, minority and working-capital support.</x:v>
      </x:c>
      <x:c r="H221" s="10" t="str">
        <x:v>No public professional email or phone found after homepage/contact/team review. Use only investor-owned inquiry form; check size/liquidity/101XVC acceptance unknown.</x:v>
      </x:c>
      <x:c r="I221" s="10" t="str"/>
      <x:c r="J221" s="10" t="str"/>
      <x:c r="K221" s="10" t="str">
        <x:v>https://www.brownhelmcapital.com/investment-criteria/</x:v>
      </x:c>
      <x:c r="L221" s="10" t="str">
        <x:v>https://www.brownhelmcapital.com/contact/</x:v>
      </x:c>
      <x:c r="M221" s="10" t="str">
        <x:v>2026-09-30</x:v>
      </x:c>
    </x:row>
    <x:row r="222" ht="72" customHeight="1">
      <x:c r="A222" s="10" t="str">
        <x:v>cabc8f0c42b303</x:v>
      </x:c>
      <x:c r="B222" s="10" t="str">
        <x:v>Cameo Point Capital</x:v>
      </x:c>
      <x:c r="C222" s="10" t="str">
        <x:v>Peter Spenuzza</x:v>
      </x:c>
      <x:c r="D222" s="10" t="str"/>
      <x:c r="E222" s="10" t="str">
        <x:v>Explicit control/minority operating-company investments, early-stage/growth and game-changing-startup exceptions.</x:v>
      </x:c>
      <x:c r="F222" s="10" t="str">
        <x:v>Family office entrepreneur-led growth equity, search funds and early-stage company investing with published named-principal email.</x:v>
      </x:c>
      <x:c r="G222" s="10" t="str">
        <x:v>Family office entrepreneur-led growth equity, search funds and early-stage company investing with published named-principal email.</x:v>
      </x:c>
      <x:c r="H222" s="10" t="str">
        <x:v>Focus industries consumer goods, manufacturing, software, healthcare and VC; no real-estate-services mandate. Normally&gt;$500K revenue, EBITDA positive/breakeven and20%growth. Revenue threshold is not investment check size. No current official phone.</x:v>
      </x:c>
      <x:c r="I222" s="10" t="str">
        <x:v>https://cameopointcapital.com/</x:v>
      </x:c>
      <x:c r="J222" s="10" t="str"/>
      <x:c r="K222" s="10" t="str">
        <x:v>https://cameopointcapital.com/</x:v>
      </x:c>
      <x:c r="L222" s="10" t="str">
        <x:v>https://cameopointcapital.com/</x:v>
      </x:c>
      <x:c r="M222" s="10" t="str">
        <x:v>2026-09-30</x:v>
      </x:c>
    </x:row>
    <x:row r="223" ht="72" customHeight="1">
      <x:c r="A223" s="10" t="str">
        <x:v>c82e1c3cba249f</x:v>
      </x:c>
      <x:c r="B223" s="10" t="str">
        <x:v>Coughlin Capital</x:v>
      </x:c>
      <x:c r="C223" s="10" t="str"/>
      <x:c r="D223" s="10" t="str"/>
      <x:c r="E223" s="10" t="str">
        <x:v>Explicit minority and majority operating-company equity within supply-chain/logistics platform.</x:v>
      </x:c>
      <x:c r="F223" s="10" t="str">
        <x:v>Family-owned direct equity for logistics/supply-chain operating businesses; potential operational fulfillment adjacency rather than property-secured lending.</x:v>
      </x:c>
      <x:c r="G223" s="10" t="str">
        <x:v>Family-owned direct equity for logistics/supply-chain operating businesses; potential operational fulfillment adjacency rather than property-secured lending.</x:v>
      </x:c>
      <x:c r="H223" s="10" t="str">
        <x:v>Real-estate program buys assets; business program focuses existing supply-chain companies. Real-estate acquisition service contract is not confirmed sector fit. Check size/startup tolerance unknown; no current official phone published.</x:v>
      </x:c>
      <x:c r="I223" s="10" t="str">
        <x:v>https://coughlincapital.com/contact/</x:v>
      </x:c>
      <x:c r="J223" s="10" t="str"/>
      <x:c r="K223" s="10" t="str">
        <x:v>https://coughlincapital.com/investment-strategy/</x:v>
      </x:c>
      <x:c r="L223" s="10" t="str"/>
      <x:c r="M223" s="10" t="str">
        <x:v>2026-09-30</x:v>
      </x:c>
    </x:row>
    <x:row r="224" ht="72" customHeight="1">
      <x:c r="A224" s="10" t="str">
        <x:v>388d82252723a6</x:v>
      </x:c>
      <x:c r="B224" s="10" t="str">
        <x:v>CR3 Capital</x:v>
      </x:c>
      <x:c r="C224" s="10" t="str"/>
      <x:c r="D224" s="10" t="str"/>
      <x:c r="E224" s="10" t="str">
        <x:v>Explicit control and non-control equity, early-stage and growth-equity investment types.</x:v>
      </x:c>
      <x:c r="F224" s="10" t="str">
        <x:v>Business services and transportation/logistics sector mandate, growth capital, no minimum EBITDA, and early-stage investment category.</x:v>
      </x:c>
      <x:c r="G224" s="10" t="str">
        <x:v>Business services and transportation/logistics sector mandate, growth capital, no minimum EBITDA, and early-stage investment category.</x:v>
      </x:c>
      <x:c r="H224" s="10" t="str">
        <x:v>No public email after official website review; professional phone and inquiry form only. Check size and9.3% ownership tolerance unverified.</x:v>
      </x:c>
      <x:c r="I224" s="10" t="str"/>
      <x:c r="J224" s="10" t="str">
        <x:v>https://www.cr3capital.com/</x:v>
      </x:c>
      <x:c r="K224" s="10" t="str">
        <x:v>https://www.cr3capital.com/</x:v>
      </x:c>
      <x:c r="L224" s="10" t="str"/>
      <x:c r="M224" s="10" t="str">
        <x:v>2026-09-30</x:v>
      </x:c>
    </x:row>
    <x:row r="225" ht="57" customHeight="1">
      <x:c r="A225" s="10" t="str">
        <x:v>a13cebed828546</x:v>
      </x:c>
      <x:c r="B225" s="10" t="str">
        <x:v>DawnAscent Capital</x:v>
      </x:c>
      <x:c r="C225" s="10" t="str">
        <x:v>Gregory K. Jones</x:v>
      </x:c>
      <x:c r="D225" s="10" t="str"/>
      <x:c r="E225" s="10" t="str">
        <x:v>Explicit minority private-company equity; operating-company and business-services sectors.</x:v>
      </x:c>
      <x:c r="F225" s="10" t="str">
        <x:v>Minority operating-company capital with business-services and real-estate familiarity.</x:v>
      </x:c>
      <x:c r="G225" s="10" t="str">
        <x:v>Minority operating-company capital with business-services and real-estate familiarity.</x:v>
      </x:c>
      <x:c r="H225" s="10" t="str">
        <x:v>Check size, 9.3% ownership tolerance and stage eligibility unverified. Public phone unavailable.</x:v>
      </x:c>
      <x:c r="I225" s="10" t="str">
        <x:v>https://www.dawnascent.com/</x:v>
      </x:c>
      <x:c r="J225" s="10" t="str"/>
      <x:c r="K225" s="10" t="str">
        <x:v>https://www.dawnascent.com/</x:v>
      </x:c>
      <x:c r="L225" s="10" t="str">
        <x:v>https://www.dawnascent.com/</x:v>
      </x:c>
      <x:c r="M225" s="10" t="str">
        <x:v>2026-09-30</x:v>
      </x:c>
    </x:row>
    <x:row r="226" ht="72" customHeight="1">
      <x:c r="A226" s="10" t="str">
        <x:v>861e9cfa49e671</x:v>
      </x:c>
      <x:c r="B226" s="10" t="str">
        <x:v>East Peak Capital</x:v>
      </x:c>
      <x:c r="C226" s="10" t="str">
        <x:v>Thomas J. Cusick</x:v>
      </x:c>
      <x:c r="D226" s="10" t="str"/>
      <x:c r="E226" s="10" t="str">
        <x:v>Growth equity, direct venture and secondary equity investments; minority policy not explicitly published.</x:v>
      </x:c>
      <x:c r="F226" s="10" t="str">
        <x:v>Published operating-company growth equity in business services; principal previously real-estate-services acquisition director at Koll Management Services.</x:v>
      </x:c>
      <x:c r="G226" s="10" t="str">
        <x:v>Published operating-company growth equity in business services; principal previously real-estate-services acquisition director at Koll Management Services.</x:v>
      </x:c>
      <x:c r="H226" s="10" t="str">
        <x:v>Check size/minority/current pre-execution service-contract tolerance unverified. Early-stage venture investments are also via funds, not automatically direct startup checks. No public phone on current home/about pages.</x:v>
      </x:c>
      <x:c r="I226" s="10" t="str">
        <x:v>https://www.eastpeakcapital.com/</x:v>
      </x:c>
      <x:c r="J226" s="10" t="str"/>
      <x:c r="K226" s="10" t="str">
        <x:v>https://www.eastpeakcapital.com/about</x:v>
      </x:c>
      <x:c r="L226" s="10" t="str">
        <x:v>https://www.eastpeakcapital.com/about</x:v>
      </x:c>
      <x:c r="M226" s="10" t="str">
        <x:v>2026-09-30</x:v>
      </x:c>
    </x:row>
    <x:row r="227" ht="57" customHeight="1">
      <x:c r="A227" s="10" t="str">
        <x:v>96f4991677fbe6</x:v>
      </x:c>
      <x:c r="B227" s="10" t="str">
        <x:v>Eleven Capital Management / Grassy Creek</x:v>
      </x:c>
      <x:c r="C227" s="10" t="str"/>
      <x:c r="D227" s="10" t="str"/>
      <x:c r="E227" s="10" t="str">
        <x:v>Explicit majority and minority ownership; early-stage venture through later private equity.</x:v>
      </x:c>
      <x:c r="F227" s="10" t="str">
        <x:v>Flexible-stage operating-company proprietary investments in situations where traditional capital does not flow.</x:v>
      </x:c>
      <x:c r="G227" s="10" t="str">
        <x:v>Flexible-stage operating-company proprietary investments in situations where traditional capital does not flow.</x:v>
      </x:c>
      <x:c r="H227" s="10" t="str">
        <x:v>Official page verified through current web search; direct fetch unavailable. No official public business email/phone found. $500K check and 9.3% tolerance unverified.</x:v>
      </x:c>
      <x:c r="I227" s="10" t="str"/>
      <x:c r="J227" s="10" t="str"/>
      <x:c r="K227" s="10" t="str">
        <x:v>https://elevencapitalmanagement.com/</x:v>
      </x:c>
      <x:c r="L227" s="10" t="str"/>
      <x:c r="M227" s="10" t="str">
        <x:v>2026-09-30</x:v>
      </x:c>
    </x:row>
    <x:row r="228" ht="72" customHeight="1">
      <x:c r="A228" s="10" t="str">
        <x:v>2b540ac926fb81</x:v>
      </x:c>
      <x:c r="B228" s="10" t="str">
        <x:v>Farrington Capital Corporation</x:v>
      </x:c>
      <x:c r="C228" s="10" t="str"/>
      <x:c r="D228" s="10" t="str"/>
      <x:c r="E228" s="10" t="str">
        <x:v>Explicit majority or minority investments in operating-company recaps, buy-and-builds and management buyouts.</x:v>
      </x:c>
      <x:c r="F228" s="10" t="str">
        <x:v>Business-technology/services operating-company investments, including non-control equity.</x:v>
      </x:c>
      <x:c r="G228" s="10" t="str">
        <x:v>Business-technology/services operating-company investments, including non-control equity.</x:v>
      </x:c>
      <x:c r="H228" s="10" t="str">
        <x:v>Published existing EBITDA$1M–$50M; current pilot forecasts are not achieved earnings. No public email, current contact form/mainline only. Check size and willingness to fund a standalone500K service trial unverified.</x:v>
      </x:c>
      <x:c r="I228" s="10" t="str"/>
      <x:c r="J228" s="10" t="str">
        <x:v>https://farringtoncapitalcorp.com/contact-farrington/</x:v>
      </x:c>
      <x:c r="K228" s="10" t="str">
        <x:v>https://farringtoncapitalcorp.com/what-we-do/</x:v>
      </x:c>
      <x:c r="L228" s="10" t="str"/>
      <x:c r="M228" s="10" t="str">
        <x:v>2026-09-30</x:v>
      </x:c>
    </x:row>
    <x:row r="229" ht="57" customHeight="1">
      <x:c r="A229" s="10" t="str">
        <x:v>75f900cbf73137</x:v>
      </x:c>
      <x:c r="B229" s="10" t="str">
        <x:v>Lars Invest</x:v>
      </x:c>
      <x:c r="C229" s="10" t="str"/>
      <x:c r="D229" s="10" t="str"/>
      <x:c r="E229" s="10" t="str">
        <x:v>Private operating-business equity and growth partnerships published; minority policy unconfirmed.</x:v>
      </x:c>
      <x:c r="F229" s="10" t="str">
        <x:v>Family office invests in both operating businesses and real estate; growth partnerships rather than property lending only.</x:v>
      </x:c>
      <x:c r="G229" s="10" t="str">
        <x:v>Family office invests in both operating businesses and real estate; growth partnerships rather than property lending only.</x:v>
      </x:c>
      <x:c r="H229" s="10" t="str">
        <x:v>No published check size or public phone, and no explicit minority/pre-execution-stage tolerance. Exploratory mandate-unconfirmed research only.</x:v>
      </x:c>
      <x:c r="I229" s="10" t="str">
        <x:v>https://www.larsinvest.com/contact</x:v>
      </x:c>
      <x:c r="J229" s="10" t="str"/>
      <x:c r="K229" s="10" t="str">
        <x:v>https://www.larsinvest.com/investments</x:v>
      </x:c>
      <x:c r="L229" s="10" t="str"/>
      <x:c r="M229" s="10" t="str">
        <x:v>2026-09-30</x:v>
      </x:c>
    </x:row>
    <x:row r="230" ht="57" customHeight="1">
      <x:c r="A230" s="10" t="str">
        <x:v>983855011e7729</x:v>
      </x:c>
      <x:c r="B230" s="10" t="str">
        <x:v>LaunchCapital</x:v>
      </x:c>
      <x:c r="C230" s="10" t="str"/>
      <x:c r="D230" s="10" t="str"/>
      <x:c r="E230" s="10" t="str">
        <x:v>Seed/early-stage venture equity; exact minority percentage tolerance not explicitly published.</x:v>
      </x:c>
      <x:c r="F230" s="10" t="str">
        <x:v>Permanent seed capital backed by Pritzker/Vlock family office; actual early-stage company mandate rather than property financing.</x:v>
      </x:c>
      <x:c r="G230" s="10" t="str">
        <x:v>Permanent seed capital backed by Pritzker/Vlock family office; actual early-stage company mandate rather than property financing.</x:v>
      </x:c>
      <x:c r="H230" s="10" t="str">
        <x:v>Current official website provides pitch form, not a public email/phone. Substantive innovation and scalable venture model need confirmation for service-contract business; check size unknown.</x:v>
      </x:c>
      <x:c r="I230" s="10" t="str"/>
      <x:c r="J230" s="10" t="str"/>
      <x:c r="K230" s="10" t="str">
        <x:v>https://launchcapital.com/</x:v>
      </x:c>
      <x:c r="L230" s="10" t="str"/>
      <x:c r="M230" s="10" t="str">
        <x:v>2026-09-30</x:v>
      </x:c>
    </x:row>
    <x:row r="231" ht="57" customHeight="1">
      <x:c r="A231" s="10" t="str">
        <x:v>4516a1f2e0ddb2</x:v>
      </x:c>
      <x:c r="B231" s="10" t="str">
        <x:v>Red Forest Capital</x:v>
      </x:c>
      <x:c r="C231" s="10" t="str"/>
      <x:c r="D231" s="10" t="str"/>
      <x:c r="E231" s="10" t="str">
        <x:v>Early-stage and search/acquisition investments; exact minority ownership policy not explicitly stated on current homepage.</x:v>
      </x:c>
      <x:c r="F231" s="10" t="str">
        <x:v>Invests family capital across stages; commercial real-estate site-selection and property-management software portfolio companies.</x:v>
      </x:c>
      <x:c r="G231" s="10" t="str">
        <x:v>Invests family capital across stages; commercial real-estate site-selection and property-management software portfolio companies.</x:v>
      </x:c>
      <x:c r="H231" s="10" t="str">
        <x:v>No published ticket range or definitive minority policy. Acquisition/search history may be a closer fit than pre-execution working capital. Current homepage no longer displays phone.</x:v>
      </x:c>
      <x:c r="I231" s="10" t="str">
        <x:v>https://www.redforestcapital.com/contact</x:v>
      </x:c>
      <x:c r="J231" s="10" t="str"/>
      <x:c r="K231" s="10" t="str">
        <x:v>https://www.redforestcapital.com/</x:v>
      </x:c>
      <x:c r="L231" s="10" t="str"/>
      <x:c r="M231" s="10" t="str">
        <x:v>2026-09-30</x:v>
      </x:c>
    </x:row>
    <x:row r="232" ht="72" customHeight="1">
      <x:c r="A232" s="10" t="str">
        <x:v>1802f561eeb09d</x:v>
      </x:c>
      <x:c r="B232" s="10" t="str">
        <x:v>SOJA Ventures</x:v>
      </x:c>
      <x:c r="C232" s="10" t="str"/>
      <x:c r="D232" s="10" t="str"/>
      <x:c r="E232" s="10" t="str">
        <x:v>Official mandate explicitly includes non-control equity alongside debt.</x:v>
      </x:c>
      <x:c r="F232" s="10" t="str">
        <x:v>Technology-focused growth companies across industries; conditional potential only if the operating company has substantive scalable technology.</x:v>
      </x:c>
      <x:c r="G232" s="10" t="str">
        <x:v>Technology-focused growth companies across industries; conditional potential only if the operating company has substantive scalable technology.</x:v>
      </x:c>
      <x:c r="H232" s="10" t="str">
        <x:v>Lower-middle-market and technology focus; no published check range, public phone or verified fit for service-contract working capital.</x:v>
      </x:c>
      <x:c r="I232" s="10" t="str">
        <x:v>https://www.sojaventures.com/copy-of-contact</x:v>
      </x:c>
      <x:c r="J232" s="10" t="str"/>
      <x:c r="K232" s="10" t="str">
        <x:v>https://sojaventures.com/</x:v>
      </x:c>
      <x:c r="L232" s="10" t="str"/>
      <x:c r="M232" s="10" t="str">
        <x:v>2026-09-30</x:v>
      </x:c>
    </x:row>
    <x:row r="233" ht="72" customHeight="1">
      <x:c r="A233" s="10" t="str">
        <x:v>a6dbeedaa556bd</x:v>
      </x:c>
      <x:c r="B233" s="10" t="str">
        <x:v>The Finger Group</x:v>
      </x:c>
      <x:c r="C233" s="10" t="str"/>
      <x:c r="D233" s="10" t="str"/>
      <x:c r="E233" s="10" t="str">
        <x:v>Explicit majority/minority capital for established-company acquisitions; early-stage proprietary investment mandate separately includes founders from inception.</x:v>
      </x:c>
      <x:c r="F233" s="10" t="str">
        <x:v>Stage-agnostic operating-company investor, technology-to-real-estate special situations and offline recurring-revenue companies.</x:v>
      </x:c>
      <x:c r="G233" s="10" t="str">
        <x:v>Stage-agnostic operating-company investor, technology-to-real-estate special situations and offline recurring-revenue companies.</x:v>
      </x:c>
      <x:c r="H233" s="10" t="str">
        <x:v>No public email or phone on current official website. Relationship/trusted-introduction preference, check size and minority policy for early-stage trials unknown.</x:v>
      </x:c>
      <x:c r="I233" s="10" t="str"/>
      <x:c r="J233" s="10" t="str"/>
      <x:c r="K233" s="10" t="str">
        <x:v>https://fingergroup.com/</x:v>
      </x:c>
      <x:c r="L233" s="10" t="str"/>
      <x:c r="M233" s="10" t="str">
        <x:v>2026-09-30</x:v>
      </x:c>
    </x:row>
    <x:row r="234" ht="72" customHeight="1">
      <x:c r="A234" s="10" t="str">
        <x:v>037da43136a5fa</x:v>
      </x:c>
      <x:c r="B234" s="10" t="str">
        <x:v>Upside Growth Partners</x:v>
      </x:c>
      <x:c r="C234" s="10" t="str">
        <x:v>Rick Apple</x:v>
      </x:c>
      <x:c r="D234" s="10" t="str"/>
      <x:c r="E234" s="10" t="str">
        <x:v>Explicit minority positions in early-stage and growth companies.</x:v>
      </x:c>
      <x:c r="F234" s="10" t="str">
        <x:v>Business-services/home-services operating-company experience and explicit early-stage/growth minority structures.</x:v>
      </x:c>
      <x:c r="G234" s="10" t="str">
        <x:v>Business-services/home-services operating-company experience and explicit early-stage/growth minority structures.</x:v>
      </x:c>
      <x:c r="H234" s="10" t="str">
        <x:v>Typical investments require above$10M annual revenue and$2M EBITDA; SaaS requires$2M recurring revenue. Current pilot forecasts do not establish those existing operating results. Check size unknown; no current official phone published.</x:v>
      </x:c>
      <x:c r="I234" s="10" t="str">
        <x:v>https://www.upsidegp.com/</x:v>
      </x:c>
      <x:c r="J234" s="10" t="str"/>
      <x:c r="K234" s="10" t="str">
        <x:v>https://www.upsidegp.com/</x:v>
      </x:c>
      <x:c r="L234" s="10" t="str">
        <x:v>https://www.upsidegp.com/</x:v>
      </x:c>
      <x:c r="M234" s="10" t="str">
        <x:v>2026-09-30</x:v>
      </x:c>
    </x:row>
    <x:row r="235" ht="72" customHeight="1">
      <x:c r="A235" s="10" t="str">
        <x:v>0a9594120cf549</x:v>
      </x:c>
      <x:c r="B235" s="10" t="str">
        <x:v>Think Colorado Angel / CBAN Silicon Valley / Story Samurai</x:v>
      </x:c>
      <x:c r="C235" s="10" t="str">
        <x:v>Ari Block</x:v>
      </x:c>
      <x:c r="D235" s="10" t="str">
        <x:v>CBAN reports 10K-100Kseed investments; not individual check range</x:v>
      </x:c>
      <x:c r="E235" s="10" t="str">
        <x:v>unconfirmed</x:v>
      </x:c>
      <x:c r="F235" s="10" t="str">
        <x:v>technology_operations_experience_but_announced_program_public_safety_sector</x:v>
      </x:c>
      <x:c r="G235" s="10" t="str">
        <x:v>Named business phone published in contact block; only media inbox available.500Kannouncement is program commitment, not general check policy.</x:v>
      </x:c>
      <x:c r="H235" s="10" t="str">
        <x:v>Named business phone published in contact block; only media inbox available.500Kannouncement is program commitment, not general check policy.</x:v>
      </x:c>
      <x:c r="I235" s="10" t="str">
        <x:v>https://www.24-7pressrelease.com/press-release/526148/serial-entrepreneur-and-cban-angel-investor-announce-500000-investment-in-public-safety-ai-innovation-program</x:v>
      </x:c>
      <x:c r="J235" s="10" t="str">
        <x:v>https://www.24-7pressrelease.com/press-release/526148/serial-entrepreneur-and-cban-angel-investor-announce-500000-investment-in-public-safety-ai-innovation-program</x:v>
      </x:c>
      <x:c r="K235" s="10" t="str">
        <x:v>https://www.24-7pressrelease.com/press-release/526148/serial-entrepreneur-and-cban-angel-investor-announce-500000-investment-in-public-safety-ai-innovation-program</x:v>
      </x:c>
      <x:c r="L235" s="10" t="str">
        <x:v>https://www.24-7pressrelease.com/press-release/526148/serial-entrepreneur-and-cban-angel-investor-announce-500000-investment-in-public-safety-ai-innovation-program</x:v>
      </x:c>
      <x:c r="M235" s="10" t="str">
        <x:v>2026-09-30</x:v>
      </x:c>
    </x:row>
    <x:row r="236" ht="102" customHeight="1">
      <x:c r="A236" s="10" t="str">
        <x:v>c870d1603c29d7</x:v>
      </x:c>
      <x:c r="B236" s="10" t="str">
        <x:v>Almanac Realty Investors / Neuberger</x:v>
      </x:c>
      <x:c r="C236" s="10" t="str"/>
      <x:c r="D236" s="10" t="str"/>
      <x:c r="E236" s="10" t="str">
        <x:v>unconfirmed</x:v>
      </x:c>
      <x:c r="F236" s="10" t="str">
        <x:v>Provides strategic company-level growth capital to established real-estate companies and investment managers across North America.</x:v>
      </x:c>
      <x:c r="G236" s="10" t="str"/>
      <x:c r="H236" s="10" t="str">
        <x:v>Current Almanac website redirects to Neuberger. Phone is Neuberger corporate mainline, not an independently confirmed deal originator. Older indexed Almanac info@almanacrealty.com and 212.403.3522 were not revalidated on the current page, so are omitted. Published portfolio capitalizations are far larger institutional examples, not minimum checks; asset-owning REOC mandate may mismatch a transaction-services operator.</x:v>
      </x:c>
      <x:c r="I236" s="10" t="str"/>
      <x:c r="J236" s="10" t="str">
        <x:v>https://www.almanacrealty.com/</x:v>
      </x:c>
      <x:c r="K236" s="10" t="str">
        <x:v>https://www.nb.com/what-we-do/private-markets-and-alternatives/private-real-assets?tab=almanac</x:v>
      </x:c>
      <x:c r="L236" s="10" t="str"/>
      <x:c r="M236" s="10" t="str">
        <x:v>2026-09-30</x:v>
      </x:c>
    </x:row>
    <x:row r="237" ht="72" customHeight="1">
      <x:c r="A237" s="10" t="str">
        <x:v>9a5be724e26341</x:v>
      </x:c>
      <x:c r="B237" s="10" t="str">
        <x:v>Compatriot Capital</x:v>
      </x:c>
      <x:c r="C237" s="10" t="str"/>
      <x:c r="D237" s="10" t="str"/>
      <x:c r="E237" s="10" t="str">
        <x:v>meaningful_ownership_shared_governance_published</x:v>
      </x:c>
      <x:c r="F237" s="10" t="str">
        <x:v>Acquires operating-company ownership interests and supplies capital for growth and operations of established real-estate platforms.</x:v>
      </x:c>
      <x:c r="G237" s="10" t="str"/>
      <x:c r="H237" s="10" t="str">
        <x:v>Established companies and sponsors with a proven record are required; shared governance and meaningful ownership may exceed the proposed stake. No public email or telephone found on reviewed company pages. Direct ticket and property-free model eligibility unknown.</x:v>
      </x:c>
      <x:c r="I237" s="10" t="str"/>
      <x:c r="J237" s="10" t="str"/>
      <x:c r="K237" s="10" t="str">
        <x:v>https://compatriotcapital.com/</x:v>
      </x:c>
      <x:c r="L237" s="10" t="str"/>
      <x:c r="M237" s="10" t="str">
        <x:v>2026-09-30</x:v>
      </x:c>
    </x:row>
    <x:row r="238" ht="72" customHeight="1">
      <x:c r="A238" s="10" t="str">
        <x:v>1485a9e31e8126</x:v>
      </x:c>
      <x:c r="B238" s="10" t="str">
        <x:v>Factor Strategic Partners</x:v>
      </x:c>
      <x:c r="C238" s="10" t="str"/>
      <x:c r="D238" s="10" t="str"/>
      <x:c r="E238" s="10" t="str">
        <x:v>unconfirmed</x:v>
      </x:c>
      <x:c r="F238" s="10" t="str">
        <x:v>Provides capital, infrastructure and operating support to new and established US real-estate GP investment platforms.</x:v>
      </x:c>
      <x:c r="G238" s="10" t="str"/>
      <x:c r="H238" s="10" t="str">
        <x:v>GP launch and development-platform capital is the published strategy. A fee-based origination and transaction execution company may fall outside its mandate. Direct corporate ticket, minority ownership terms, and cash availability unconfirmed.</x:v>
      </x:c>
      <x:c r="I238" s="10" t="str">
        <x:v>https://www.factor-sp.com/contact</x:v>
      </x:c>
      <x:c r="J238" s="10" t="str"/>
      <x:c r="K238" s="10" t="str">
        <x:v>https://www.factor-sp.com/gp-partnerships</x:v>
      </x:c>
      <x:c r="L238" s="10" t="str"/>
      <x:c r="M238" s="10" t="str">
        <x:v>2026-09-30</x:v>
      </x:c>
    </x:row>
    <x:row r="239" ht="87" customHeight="1">
      <x:c r="A239" s="10" t="str">
        <x:v>e4e1f409f3b317</x:v>
      </x:c>
      <x:c r="B239" s="10" t="str">
        <x:v>Soho Bay Group</x:v>
      </x:c>
      <x:c r="C239" s="10" t="str"/>
      <x:c r="D239" s="10" t="str"/>
      <x:c r="E239" s="10" t="str">
        <x:v>published_minority_or_majority</x:v>
      </x:c>
      <x:c r="F239" s="10" t="str">
        <x:v>Independent sponsor focuses on operating platforms with real estate at their core and permits minority equity through majority acquisition.</x:v>
      </x:c>
      <x:c r="G239" s="10" t="str"/>
      <x:c r="H239" s="10" t="str">
        <x:v>Equity strategy acquisition range is $3MM–$50MM overall transaction value, not direct check size; do not type it as an investment ticket. Strong operators and cash-flowing enterprises are required. No public email or telephone located on reviewed pages; sponsor discretion and actual capital providers unconfirmed.</x:v>
      </x:c>
      <x:c r="I239" s="10" t="str"/>
      <x:c r="J239" s="10" t="str"/>
      <x:c r="K239" s="10" t="str">
        <x:v>https://www.sohobaygroup.com/strategies</x:v>
      </x:c>
      <x:c r="L239" s="10" t="str"/>
      <x:c r="M239" s="10" t="str">
        <x:v>2026-09-30</x:v>
      </x:c>
    </x:row>
  </x:sheetData>
  <x:pageMargins left="0.7" right="0.7" top="0.75" bottom="0.75" header="0.3" footer="0.3"/>
  <x:tableParts count="1">
    <x:tablePart xmlns:r="http://schemas.openxmlformats.org/officeDocument/2006/relationships" r:id="Rad6c168024bf4334"/>
  </x:tableParts>
</x:worksheet>
</file>